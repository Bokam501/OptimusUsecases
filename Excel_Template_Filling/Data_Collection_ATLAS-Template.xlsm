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timelines/timeline1.xml" ContentType="application/vnd.ms-excel.timelin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Tasks\Excel_Template_Filling\"/>
    </mc:Choice>
  </mc:AlternateContent>
  <bookViews>
    <workbookView xWindow="0" yWindow="0" windowWidth="16815" windowHeight="7620" activeTab="4"/>
  </bookViews>
  <sheets>
    <sheet name="Dashboard" sheetId="13" r:id="rId1"/>
    <sheet name="Setup Parameters" sheetId="1" r:id="rId2"/>
    <sheet name="Team Details" sheetId="8" r:id="rId3"/>
    <sheet name="Sheet1" sheetId="14" r:id="rId4"/>
    <sheet name="Data Collection" sheetId="2" r:id="rId5"/>
    <sheet name="Sapiance Upload" sheetId="12" r:id="rId6"/>
    <sheet name="Guidance" sheetId="6" r:id="rId7"/>
    <sheet name="Formula" sheetId="5" state="veryHidden" r:id="rId8"/>
  </sheets>
  <externalReferences>
    <externalReference r:id="rId9"/>
  </externalReferences>
  <definedNames>
    <definedName name="_xlnm._FilterDatabase" localSheetId="4" hidden="1">'Data Collection'!$A$1:$P$113</definedName>
    <definedName name="_xlnm._FilterDatabase" localSheetId="2" hidden="1">'Team Details'!$A$1:$E$29</definedName>
    <definedName name="Default_Release_CR_Name">Formula!$C$2:$C$11</definedName>
    <definedName name="Life_Cycle_Names">Formula!$AA$2:$AA$21</definedName>
    <definedName name="NativeTimeline_Month">#N/A</definedName>
    <definedName name="Release_1">Formula!$D$2:$D$21</definedName>
    <definedName name="Release_10">Formula!$M$2:$M$21</definedName>
    <definedName name="Release_2">Formula!$E$2:$E$21</definedName>
    <definedName name="Release_3">Formula!$F$2:$F$21</definedName>
    <definedName name="Release_4">Formula!$G$2:$G$21</definedName>
    <definedName name="Release_5">Formula!$H$2:$H$21</definedName>
    <definedName name="Release_6">Formula!$I$2:$I$21</definedName>
    <definedName name="Release_7">Formula!$J$2:$J$21</definedName>
    <definedName name="Release_8">Formula!$K$2:$K$21</definedName>
    <definedName name="Release_9">Formula!$L$2:$L$21</definedName>
    <definedName name="Release_CR_Name">OFFSET(Formula!$B$2,0,0,(COUNTIF(Formula!$B$2:$B$11,"&gt;""")),1)</definedName>
    <definedName name="Resource_Names">OFFSET('Team Details'!$B$2,0,0,COUNTA('Team Details'!$B:$B),1)</definedName>
    <definedName name="Slicer_Month">#N/A</definedName>
    <definedName name="Slicer_Phase">#N/A</definedName>
    <definedName name="Slicer_Release___CR_Name">#N/A</definedName>
    <definedName name="Slicer_Resource_Name">#N/A</definedName>
  </definedNames>
  <calcPr calcId="162913"/>
  <pivotCaches>
    <pivotCache cacheId="105" r:id="rId10"/>
    <pivotCache cacheId="106" r:id="rId11"/>
    <pivotCache cacheId="107" r:id="rId12"/>
  </pivotCaches>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7"/>
      </x15:timelineCacheRef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D33" i="2" l="1"/>
  <c r="AC33" i="2"/>
  <c r="C32" i="14"/>
  <c r="C33" i="14"/>
  <c r="AD24" i="2"/>
  <c r="AC24" i="2"/>
  <c r="AD26" i="2"/>
  <c r="AC26" i="2"/>
  <c r="AD51" i="2"/>
  <c r="AC51" i="2"/>
  <c r="AD35" i="2"/>
  <c r="AC35" i="2"/>
  <c r="C5" i="14"/>
  <c r="C6" i="14"/>
  <c r="C7" i="14"/>
  <c r="C8" i="14"/>
  <c r="C9" i="14"/>
  <c r="C10" i="14"/>
  <c r="C11" i="14"/>
  <c r="C12" i="14"/>
  <c r="C13" i="14"/>
  <c r="C14" i="14"/>
  <c r="C15" i="14"/>
  <c r="C16" i="14"/>
  <c r="C17" i="14"/>
  <c r="C18" i="14"/>
  <c r="C19" i="14"/>
  <c r="C20" i="14"/>
  <c r="C21" i="14"/>
  <c r="C22" i="14"/>
  <c r="C23" i="14"/>
  <c r="C24" i="14"/>
  <c r="C25" i="14"/>
  <c r="C26" i="14"/>
  <c r="C27" i="14"/>
  <c r="C28" i="14"/>
  <c r="C29" i="14"/>
  <c r="C30" i="14"/>
  <c r="C31" i="14"/>
  <c r="C4" i="14"/>
  <c r="AD52" i="2"/>
  <c r="AC52" i="2"/>
  <c r="AD50" i="2"/>
  <c r="AC50" i="2"/>
  <c r="AD22" i="2"/>
  <c r="AC22" i="2"/>
  <c r="AD21" i="2"/>
  <c r="AC21" i="2"/>
  <c r="AD36" i="2"/>
  <c r="AC36" i="2"/>
  <c r="AD37" i="2"/>
  <c r="AC37" i="2"/>
  <c r="AD39" i="2"/>
  <c r="AC39" i="2"/>
  <c r="AD38" i="2"/>
  <c r="AC38" i="2"/>
  <c r="AD34" i="2"/>
  <c r="AC34" i="2"/>
  <c r="AD46" i="2"/>
  <c r="AC46" i="2"/>
  <c r="AD45" i="2"/>
  <c r="AC45" i="2"/>
  <c r="AD44" i="2"/>
  <c r="AC44" i="2"/>
  <c r="AD47" i="2"/>
  <c r="AC47" i="2"/>
  <c r="AD43" i="2"/>
  <c r="AC43" i="2"/>
  <c r="AD23" i="2"/>
  <c r="AC23" i="2"/>
  <c r="AD20" i="2"/>
  <c r="AC20" i="2"/>
  <c r="AD19" i="2"/>
  <c r="AC19" i="2"/>
  <c r="K2" i="8"/>
  <c r="J2" i="8"/>
  <c r="AD48" i="2"/>
  <c r="AC48" i="2"/>
  <c r="J3" i="8"/>
  <c r="AC28" i="2"/>
  <c r="AD28" i="2"/>
  <c r="H2" i="8"/>
  <c r="I3" i="8" s="1"/>
  <c r="AD4" i="2" l="1"/>
  <c r="AC4" i="2"/>
  <c r="AD13" i="2"/>
  <c r="AC13" i="2"/>
  <c r="C37" i="13" l="1"/>
  <c r="F37" i="13" s="1"/>
  <c r="C38" i="13"/>
  <c r="F38" i="13" s="1"/>
  <c r="C39" i="13"/>
  <c r="F39" i="13" s="1"/>
  <c r="C40" i="13"/>
  <c r="F40" i="13" s="1"/>
  <c r="C41" i="13"/>
  <c r="I41" i="13" s="1"/>
  <c r="C42" i="13"/>
  <c r="I42" i="13" s="1"/>
  <c r="C43" i="13"/>
  <c r="F43" i="13" s="1"/>
  <c r="C44" i="13"/>
  <c r="F44" i="13" s="1"/>
  <c r="C45" i="13"/>
  <c r="F45" i="13" s="1"/>
  <c r="C46" i="13"/>
  <c r="F46" i="13" s="1"/>
  <c r="C47" i="13"/>
  <c r="F47" i="13" s="1"/>
  <c r="C48" i="13"/>
  <c r="F48" i="13" s="1"/>
  <c r="C49" i="13"/>
  <c r="F49" i="13" s="1"/>
  <c r="C50" i="13"/>
  <c r="F50" i="13" s="1"/>
  <c r="C51" i="13"/>
  <c r="F51" i="13" s="1"/>
  <c r="C52" i="13"/>
  <c r="F52" i="13" s="1"/>
  <c r="C53" i="13"/>
  <c r="F53" i="13" s="1"/>
  <c r="C54" i="13"/>
  <c r="I54" i="13" s="1"/>
  <c r="C55" i="13"/>
  <c r="F55" i="13" s="1"/>
  <c r="C56" i="13"/>
  <c r="F56" i="13" s="1"/>
  <c r="C57" i="13"/>
  <c r="I57" i="13" s="1"/>
  <c r="C58" i="13"/>
  <c r="F58" i="13" s="1"/>
  <c r="C59" i="13"/>
  <c r="F59" i="13" s="1"/>
  <c r="C60" i="13"/>
  <c r="F60" i="13" s="1"/>
  <c r="C61" i="13"/>
  <c r="I61" i="13" s="1"/>
  <c r="C62" i="13"/>
  <c r="I62" i="13" s="1"/>
  <c r="C63" i="13"/>
  <c r="I63" i="13" s="1"/>
  <c r="C64" i="13"/>
  <c r="F64" i="13" s="1"/>
  <c r="C65" i="13"/>
  <c r="F65" i="13" s="1"/>
  <c r="C66" i="13"/>
  <c r="I66" i="13" s="1"/>
  <c r="C67" i="13"/>
  <c r="F67" i="13" s="1"/>
  <c r="C68" i="13"/>
  <c r="F68" i="13" s="1"/>
  <c r="C69" i="13"/>
  <c r="F69" i="13" s="1"/>
  <c r="C70" i="13"/>
  <c r="I70" i="13" s="1"/>
  <c r="C71" i="13"/>
  <c r="F71" i="13" s="1"/>
  <c r="C72" i="13"/>
  <c r="F72" i="13" s="1"/>
  <c r="C73" i="13"/>
  <c r="I73" i="13" s="1"/>
  <c r="C74" i="13"/>
  <c r="F74" i="13" s="1"/>
  <c r="C75" i="13"/>
  <c r="F75" i="13" s="1"/>
  <c r="C76" i="13"/>
  <c r="F76" i="13" s="1"/>
  <c r="C77" i="13"/>
  <c r="I77" i="13" s="1"/>
  <c r="C78" i="13"/>
  <c r="I78" i="13" s="1"/>
  <c r="C79" i="13"/>
  <c r="F79" i="13" s="1"/>
  <c r="C80" i="13"/>
  <c r="F80" i="13" s="1"/>
  <c r="C81" i="13"/>
  <c r="F81" i="13" s="1"/>
  <c r="C82" i="13"/>
  <c r="I82" i="13" s="1"/>
  <c r="C83" i="13"/>
  <c r="I83" i="13" s="1"/>
  <c r="C84" i="13"/>
  <c r="F84" i="13" s="1"/>
  <c r="C85" i="13"/>
  <c r="I85" i="13" s="1"/>
  <c r="C86" i="13"/>
  <c r="F86" i="13" s="1"/>
  <c r="C87" i="13"/>
  <c r="F87" i="13" s="1"/>
  <c r="C88" i="13"/>
  <c r="F88" i="13" s="1"/>
  <c r="C89" i="13"/>
  <c r="C90" i="13"/>
  <c r="C91" i="13"/>
  <c r="C92" i="13"/>
  <c r="F92" i="13" s="1"/>
  <c r="C93" i="13"/>
  <c r="F93" i="13" s="1"/>
  <c r="C94" i="13"/>
  <c r="C95" i="13"/>
  <c r="F95" i="13" s="1"/>
  <c r="C96" i="13"/>
  <c r="F96" i="13" s="1"/>
  <c r="C97" i="13"/>
  <c r="C98" i="13"/>
  <c r="F98" i="13" s="1"/>
  <c r="C99" i="13"/>
  <c r="C100" i="13"/>
  <c r="F100" i="13" s="1"/>
  <c r="C101" i="13"/>
  <c r="F101" i="13" s="1"/>
  <c r="C102" i="13"/>
  <c r="C103" i="13"/>
  <c r="F103" i="13" s="1"/>
  <c r="C104" i="13"/>
  <c r="F104" i="13" s="1"/>
  <c r="C105" i="13"/>
  <c r="C106" i="13"/>
  <c r="C107" i="13"/>
  <c r="C108" i="13"/>
  <c r="F108" i="13" s="1"/>
  <c r="C109" i="13"/>
  <c r="F109" i="13" s="1"/>
  <c r="C110" i="13"/>
  <c r="C111" i="13"/>
  <c r="F111" i="13" s="1"/>
  <c r="C112" i="13"/>
  <c r="F112" i="13" s="1"/>
  <c r="C113" i="13"/>
  <c r="C114" i="13"/>
  <c r="F114" i="13" s="1"/>
  <c r="C115" i="13"/>
  <c r="C116" i="13"/>
  <c r="F116" i="13" s="1"/>
  <c r="C117" i="13"/>
  <c r="F117" i="13" s="1"/>
  <c r="C118" i="13"/>
  <c r="C119" i="13"/>
  <c r="F119" i="13" s="1"/>
  <c r="C120" i="13"/>
  <c r="F120" i="13" s="1"/>
  <c r="C121" i="13"/>
  <c r="C122" i="13"/>
  <c r="C123" i="13"/>
  <c r="C124" i="13"/>
  <c r="F124" i="13" s="1"/>
  <c r="C125" i="13"/>
  <c r="F125" i="13" s="1"/>
  <c r="C126" i="13"/>
  <c r="C127" i="13"/>
  <c r="F127" i="13" s="1"/>
  <c r="C128" i="13"/>
  <c r="F128" i="13" s="1"/>
  <c r="C129" i="13"/>
  <c r="C130" i="13"/>
  <c r="F130" i="13" s="1"/>
  <c r="C131" i="13"/>
  <c r="C132" i="13"/>
  <c r="F132" i="13" s="1"/>
  <c r="C133" i="13"/>
  <c r="F133" i="13" s="1"/>
  <c r="C134" i="13"/>
  <c r="C135" i="13"/>
  <c r="F135" i="13" s="1"/>
  <c r="C136" i="13"/>
  <c r="F136" i="13" s="1"/>
  <c r="C137" i="13"/>
  <c r="C138" i="13"/>
  <c r="C139" i="13"/>
  <c r="C140" i="13"/>
  <c r="F140" i="13" s="1"/>
  <c r="C141" i="13"/>
  <c r="F141" i="13" s="1"/>
  <c r="C142" i="13"/>
  <c r="C143" i="13"/>
  <c r="F143" i="13" s="1"/>
  <c r="C144" i="13"/>
  <c r="F144" i="13" s="1"/>
  <c r="C145" i="13"/>
  <c r="C146" i="13"/>
  <c r="F146" i="13" s="1"/>
  <c r="C147" i="13"/>
  <c r="C148" i="13"/>
  <c r="F148" i="13" s="1"/>
  <c r="C149" i="13"/>
  <c r="F149" i="13" s="1"/>
  <c r="C150" i="13"/>
  <c r="F83" i="13"/>
  <c r="F89" i="13"/>
  <c r="F90" i="13"/>
  <c r="F91" i="13"/>
  <c r="F94" i="13"/>
  <c r="F97" i="13"/>
  <c r="F99" i="13"/>
  <c r="F102" i="13"/>
  <c r="F105" i="13"/>
  <c r="F106" i="13"/>
  <c r="F107" i="13"/>
  <c r="F110" i="13"/>
  <c r="F113" i="13"/>
  <c r="F115" i="13"/>
  <c r="F118" i="13"/>
  <c r="F121" i="13"/>
  <c r="F122" i="13"/>
  <c r="F123" i="13"/>
  <c r="F126" i="13"/>
  <c r="F129" i="13"/>
  <c r="F131" i="13"/>
  <c r="F134" i="13"/>
  <c r="F137" i="13"/>
  <c r="F138" i="13"/>
  <c r="F139" i="13"/>
  <c r="F142" i="13"/>
  <c r="F145" i="13"/>
  <c r="F147" i="13"/>
  <c r="F150" i="13"/>
  <c r="I75" i="13"/>
  <c r="I79" i="13"/>
  <c r="I86" i="13"/>
  <c r="I87" i="13"/>
  <c r="I88" i="13"/>
  <c r="I89" i="13"/>
  <c r="I90" i="13"/>
  <c r="I91" i="13"/>
  <c r="I92" i="13"/>
  <c r="I93" i="13"/>
  <c r="I94" i="13"/>
  <c r="I95" i="13"/>
  <c r="I96" i="13"/>
  <c r="I97" i="13"/>
  <c r="I98" i="13"/>
  <c r="I99" i="13"/>
  <c r="I100" i="13"/>
  <c r="I101" i="13"/>
  <c r="I102" i="13"/>
  <c r="I103" i="13"/>
  <c r="I104" i="13"/>
  <c r="I105" i="13"/>
  <c r="I106" i="13"/>
  <c r="I107" i="13"/>
  <c r="I108" i="13"/>
  <c r="I109" i="13"/>
  <c r="I110" i="13"/>
  <c r="I111" i="13"/>
  <c r="I112" i="13"/>
  <c r="I113" i="13"/>
  <c r="I114" i="13"/>
  <c r="I115" i="13"/>
  <c r="I116" i="13"/>
  <c r="I117" i="13"/>
  <c r="I118" i="13"/>
  <c r="I119" i="13"/>
  <c r="I120" i="13"/>
  <c r="I121" i="13"/>
  <c r="I122" i="13"/>
  <c r="I123" i="13"/>
  <c r="I124" i="13"/>
  <c r="I125" i="13"/>
  <c r="I126" i="13"/>
  <c r="I127" i="13"/>
  <c r="I128" i="13"/>
  <c r="I129" i="13"/>
  <c r="I130" i="13"/>
  <c r="I131" i="13"/>
  <c r="I132" i="13"/>
  <c r="I133" i="13"/>
  <c r="I134" i="13"/>
  <c r="I135" i="13"/>
  <c r="I136" i="13"/>
  <c r="I137" i="13"/>
  <c r="I138" i="13"/>
  <c r="I139" i="13"/>
  <c r="I140" i="13"/>
  <c r="I141" i="13"/>
  <c r="I142" i="13"/>
  <c r="I143" i="13"/>
  <c r="I144" i="13"/>
  <c r="I145" i="13"/>
  <c r="I146" i="13"/>
  <c r="I147" i="13"/>
  <c r="I148" i="13"/>
  <c r="I149" i="13"/>
  <c r="I150" i="13"/>
  <c r="C36" i="13"/>
  <c r="F36" i="13" s="1"/>
  <c r="F63" i="13" l="1"/>
  <c r="I59" i="13"/>
  <c r="I67" i="13"/>
  <c r="F61" i="13"/>
  <c r="F57" i="13"/>
  <c r="I53" i="13"/>
  <c r="I37" i="13"/>
  <c r="F42" i="13"/>
  <c r="I45" i="13"/>
  <c r="F41" i="13"/>
  <c r="I46" i="13"/>
  <c r="I38" i="13"/>
  <c r="F70" i="13"/>
  <c r="I71" i="13"/>
  <c r="I55" i="13"/>
  <c r="I50" i="13"/>
  <c r="F77" i="13"/>
  <c r="F54" i="13"/>
  <c r="F78" i="13"/>
  <c r="I49" i="13"/>
  <c r="F73" i="13"/>
  <c r="F62" i="13"/>
  <c r="I81" i="13"/>
  <c r="I65" i="13"/>
  <c r="F85" i="13"/>
  <c r="I69" i="13"/>
  <c r="I84" i="13"/>
  <c r="I80" i="13"/>
  <c r="I76" i="13"/>
  <c r="I72" i="13"/>
  <c r="I68" i="13"/>
  <c r="I64" i="13"/>
  <c r="I60" i="13"/>
  <c r="I56" i="13"/>
  <c r="I52" i="13"/>
  <c r="F82" i="13"/>
  <c r="F66" i="13"/>
  <c r="I74" i="13"/>
  <c r="I58" i="13"/>
  <c r="I44" i="13"/>
  <c r="I51" i="13"/>
  <c r="I47" i="13"/>
  <c r="I43" i="13"/>
  <c r="I39" i="13"/>
  <c r="I48" i="13"/>
  <c r="I40" i="13"/>
  <c r="I36" i="13"/>
  <c r="AG6" i="12" l="1"/>
  <c r="AG7" i="12"/>
  <c r="AG8" i="12"/>
  <c r="AG9" i="12"/>
  <c r="AG10" i="12"/>
  <c r="AG11" i="12"/>
  <c r="AG12" i="12"/>
  <c r="AG13" i="12"/>
  <c r="AG14" i="12"/>
  <c r="AG15" i="12"/>
  <c r="AG16" i="12"/>
  <c r="AG17" i="12"/>
  <c r="AG18" i="12"/>
  <c r="AG19" i="12"/>
  <c r="AG20" i="12"/>
  <c r="AG21" i="12"/>
  <c r="AG22" i="12"/>
  <c r="AG23" i="12"/>
  <c r="AG24" i="12"/>
  <c r="AG25" i="12"/>
  <c r="AG26" i="12"/>
  <c r="AG27" i="12"/>
  <c r="AG28" i="12"/>
  <c r="AG29" i="12"/>
  <c r="AG30" i="12"/>
  <c r="AG31" i="12"/>
  <c r="AG32" i="12"/>
  <c r="AG33" i="12"/>
  <c r="AG34" i="12"/>
  <c r="AG35" i="12"/>
  <c r="AG36" i="12"/>
  <c r="AG37" i="12"/>
  <c r="AG38" i="12"/>
  <c r="AG39" i="12"/>
  <c r="AG40" i="12"/>
  <c r="AG41" i="12"/>
  <c r="AG42" i="12"/>
  <c r="AG43" i="12"/>
  <c r="AG44" i="12"/>
  <c r="AG45" i="12"/>
  <c r="AG46" i="12"/>
  <c r="AG47" i="12"/>
  <c r="AG48" i="12"/>
  <c r="AG49" i="12"/>
  <c r="AG50" i="12"/>
  <c r="AG51" i="12"/>
  <c r="AG52" i="12"/>
  <c r="AG53" i="12"/>
  <c r="AG54" i="12"/>
  <c r="AG55" i="12"/>
  <c r="AG56" i="12"/>
  <c r="AG57" i="12"/>
  <c r="AG58" i="12"/>
  <c r="AG59" i="12"/>
  <c r="AG60" i="12"/>
  <c r="AG61" i="12"/>
  <c r="AG62" i="12"/>
  <c r="AG63" i="12"/>
  <c r="AG64" i="12"/>
  <c r="AG65" i="12"/>
  <c r="AG66" i="12"/>
  <c r="AG67" i="12"/>
  <c r="AG68" i="12"/>
  <c r="AG69" i="12"/>
  <c r="AG70" i="12"/>
  <c r="AG71" i="12"/>
  <c r="AG72" i="12"/>
  <c r="AG73" i="12"/>
  <c r="AG74" i="12"/>
  <c r="AG75" i="12"/>
  <c r="AG76" i="12"/>
  <c r="AG77" i="12"/>
  <c r="AG78" i="12"/>
  <c r="AG79" i="12"/>
  <c r="AG80" i="12"/>
  <c r="AG81" i="12"/>
  <c r="AG82" i="12"/>
  <c r="AG83" i="12"/>
  <c r="AG84" i="12"/>
  <c r="AG85" i="12"/>
  <c r="AG86" i="12"/>
  <c r="AG87" i="12"/>
  <c r="AG88" i="12"/>
  <c r="AG89" i="12"/>
  <c r="AG90" i="12"/>
  <c r="AG91" i="12"/>
  <c r="AG92" i="12"/>
  <c r="AG93" i="12"/>
  <c r="AG94" i="12"/>
  <c r="AG95" i="12"/>
  <c r="AG96" i="12"/>
  <c r="AG97" i="12"/>
  <c r="AG98" i="12"/>
  <c r="AG99" i="12"/>
  <c r="AG100" i="12"/>
  <c r="AG101" i="12"/>
  <c r="AG102" i="12"/>
  <c r="AG103" i="12"/>
  <c r="AG104" i="12"/>
  <c r="AG105" i="12"/>
  <c r="AG106" i="12"/>
  <c r="AG107" i="12"/>
  <c r="AG108" i="12"/>
  <c r="AG109" i="12"/>
  <c r="AG110" i="12"/>
  <c r="AG111" i="12"/>
  <c r="AG112" i="12"/>
  <c r="AG113" i="12"/>
  <c r="AG114" i="12"/>
  <c r="AG115" i="12"/>
  <c r="AG116" i="12"/>
  <c r="AG117" i="12"/>
  <c r="AG118" i="12"/>
  <c r="AG119" i="12"/>
  <c r="AG120" i="12"/>
  <c r="AG121" i="12"/>
  <c r="AG122" i="12"/>
  <c r="AG123" i="12"/>
  <c r="AG124" i="12"/>
  <c r="AG125" i="12"/>
  <c r="AG126" i="12"/>
  <c r="AG127" i="12"/>
  <c r="AG128" i="12"/>
  <c r="AG129" i="12"/>
  <c r="AG130" i="12"/>
  <c r="AG131" i="12"/>
  <c r="AG132" i="12"/>
  <c r="AG133" i="12"/>
  <c r="AG134" i="12"/>
  <c r="AG135" i="12"/>
  <c r="AG136" i="12"/>
  <c r="AG137" i="12"/>
  <c r="AG138" i="12"/>
  <c r="AG139" i="12"/>
  <c r="AG140" i="12"/>
  <c r="AG141" i="12"/>
  <c r="AG142" i="12"/>
  <c r="AG143" i="12"/>
  <c r="AG144" i="12"/>
  <c r="AG145" i="12"/>
  <c r="AG146" i="12"/>
  <c r="AG147" i="12"/>
  <c r="AG148" i="12"/>
  <c r="AG149" i="12"/>
  <c r="AG150" i="12"/>
  <c r="AG151" i="12"/>
  <c r="AG152" i="12"/>
  <c r="AG153" i="12"/>
  <c r="AG154" i="12"/>
  <c r="AG155" i="12"/>
  <c r="AG156" i="12"/>
  <c r="AG157" i="12"/>
  <c r="AG158" i="12"/>
  <c r="AG159" i="12"/>
  <c r="AG160" i="12"/>
  <c r="AG161" i="12"/>
  <c r="AG162" i="12"/>
  <c r="AG163" i="12"/>
  <c r="AG164" i="12"/>
  <c r="AG165" i="12"/>
  <c r="AG166" i="12"/>
  <c r="AG167" i="12"/>
  <c r="AG168" i="12"/>
  <c r="AG169" i="12"/>
  <c r="AG170" i="12"/>
  <c r="AG171" i="12"/>
  <c r="AG172" i="12"/>
  <c r="AG173" i="12"/>
  <c r="AG174" i="12"/>
  <c r="AG175" i="12"/>
  <c r="AG176" i="12"/>
  <c r="AG177" i="12"/>
  <c r="AG178" i="12"/>
  <c r="AG179" i="12"/>
  <c r="AG180" i="12"/>
  <c r="AG181" i="12"/>
  <c r="AG182" i="12"/>
  <c r="AG183" i="12"/>
  <c r="AG184" i="12"/>
  <c r="AG185" i="12"/>
  <c r="AG186" i="12"/>
  <c r="AG187" i="12"/>
  <c r="AG188" i="12"/>
  <c r="AG189" i="12"/>
  <c r="AG190" i="12"/>
  <c r="AG191" i="12"/>
  <c r="AG192" i="12"/>
  <c r="AG193" i="12"/>
  <c r="AG194" i="12"/>
  <c r="AG195" i="12"/>
  <c r="AG196" i="12"/>
  <c r="AG197" i="12"/>
  <c r="AG198" i="12"/>
  <c r="AG199" i="12"/>
  <c r="AG200" i="12"/>
  <c r="AG201" i="12"/>
  <c r="AG202" i="12"/>
  <c r="AG203" i="12"/>
  <c r="AG204" i="12"/>
  <c r="AG205" i="12"/>
  <c r="AG206" i="12"/>
  <c r="AG207" i="12"/>
  <c r="AG208" i="12"/>
  <c r="AG209" i="12"/>
  <c r="AG210" i="12"/>
  <c r="AG211" i="12"/>
  <c r="AG212" i="12"/>
  <c r="AG213" i="12"/>
  <c r="AG214" i="12"/>
  <c r="AG215" i="12"/>
  <c r="AG216" i="12"/>
  <c r="AG217" i="12"/>
  <c r="AG218" i="12"/>
  <c r="AG219" i="12"/>
  <c r="AG220" i="12"/>
  <c r="AG221" i="12"/>
  <c r="AG222" i="12"/>
  <c r="AG223" i="12"/>
  <c r="AG224" i="12"/>
  <c r="AG225" i="12"/>
  <c r="AG226" i="12"/>
  <c r="AG227" i="12"/>
  <c r="AG228" i="12"/>
  <c r="AG229" i="12"/>
  <c r="AG230" i="12"/>
  <c r="AG231" i="12"/>
  <c r="AG232" i="12"/>
  <c r="AG233" i="12"/>
  <c r="AG234" i="12"/>
  <c r="AG235" i="12"/>
  <c r="AG236" i="12"/>
  <c r="AG237" i="12"/>
  <c r="AG238" i="12"/>
  <c r="AG239" i="12"/>
  <c r="AG240" i="12"/>
  <c r="AG241" i="12"/>
  <c r="AG242" i="12"/>
  <c r="AG243" i="12"/>
  <c r="AG244" i="12"/>
  <c r="AG245" i="12"/>
  <c r="AG246" i="12"/>
  <c r="AG247" i="12"/>
  <c r="AG248" i="12"/>
  <c r="AG249" i="12"/>
  <c r="AG250" i="12"/>
  <c r="AG251" i="12"/>
  <c r="AG252" i="12"/>
  <c r="AG253" i="12"/>
  <c r="AG254" i="12"/>
  <c r="AG255" i="12"/>
  <c r="AG256" i="12"/>
  <c r="AG257" i="12"/>
  <c r="AG258" i="12"/>
  <c r="AG259" i="12"/>
  <c r="AG260" i="12"/>
  <c r="AG261" i="12"/>
  <c r="AG262" i="12"/>
  <c r="AG263" i="12"/>
  <c r="AG264" i="12"/>
  <c r="AG265" i="12"/>
  <c r="AG266" i="12"/>
  <c r="AG267" i="12"/>
  <c r="AG268" i="12"/>
  <c r="AG269" i="12"/>
  <c r="AG270" i="12"/>
  <c r="AG271" i="12"/>
  <c r="AG272" i="12"/>
  <c r="AG273" i="12"/>
  <c r="AG274" i="12"/>
  <c r="AG275" i="12"/>
  <c r="AG276" i="12"/>
  <c r="AG277" i="12"/>
  <c r="AG278" i="12"/>
  <c r="AG279" i="12"/>
  <c r="AG280" i="12"/>
  <c r="AG281" i="12"/>
  <c r="AG282" i="12"/>
  <c r="AG283" i="12"/>
  <c r="AG284" i="12"/>
  <c r="AG285" i="12"/>
  <c r="AG286" i="12"/>
  <c r="AG287" i="12"/>
  <c r="AG288" i="12"/>
  <c r="AG289" i="12"/>
  <c r="AG290" i="12"/>
  <c r="AG291" i="12"/>
  <c r="AG292" i="12"/>
  <c r="AG293" i="12"/>
  <c r="AG294" i="12"/>
  <c r="AG295" i="12"/>
  <c r="AG296" i="12"/>
  <c r="AG297" i="12"/>
  <c r="AG298" i="12"/>
  <c r="AG299" i="12"/>
  <c r="AG300" i="12"/>
  <c r="AG301" i="12"/>
  <c r="AG5" i="12"/>
  <c r="BI16" i="1" l="1"/>
  <c r="BI17" i="1"/>
  <c r="BI18" i="1"/>
  <c r="BI19" i="1"/>
  <c r="BI20" i="1"/>
  <c r="BI21" i="1"/>
  <c r="BI22" i="1"/>
  <c r="BI23" i="1"/>
  <c r="BI24" i="1"/>
  <c r="BI25" i="1"/>
  <c r="BI26" i="1"/>
  <c r="BI27" i="1"/>
  <c r="BI28" i="1"/>
  <c r="BI29" i="1"/>
  <c r="BI30" i="1"/>
  <c r="BI31" i="1"/>
  <c r="BI32" i="1"/>
  <c r="BI33" i="1"/>
  <c r="BI34" i="1"/>
  <c r="BI35" i="1"/>
  <c r="BI36" i="1"/>
  <c r="BI37" i="1"/>
  <c r="BI38" i="1"/>
  <c r="BI39" i="1"/>
  <c r="BI40" i="1"/>
  <c r="BI41" i="1"/>
  <c r="BI42" i="1"/>
  <c r="BI43" i="1"/>
  <c r="BI44" i="1"/>
  <c r="BI45" i="1"/>
  <c r="BI46" i="1"/>
  <c r="BI47" i="1"/>
  <c r="BI48" i="1"/>
  <c r="BI49" i="1"/>
  <c r="BI50" i="1"/>
  <c r="BH16" i="1"/>
  <c r="BH17" i="1"/>
  <c r="BH18" i="1"/>
  <c r="BH19" i="1"/>
  <c r="BH20" i="1"/>
  <c r="BH21" i="1"/>
  <c r="BH22" i="1"/>
  <c r="BH23"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I15" i="1"/>
  <c r="BH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C15" i="1"/>
  <c r="BB15" i="1"/>
  <c r="AW16" i="1"/>
  <c r="AW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V16" i="1"/>
  <c r="AV17"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W15" i="1"/>
  <c r="AV15" i="1"/>
  <c r="AQ16" i="1"/>
  <c r="AQ17" i="1"/>
  <c r="AQ18" i="1"/>
  <c r="AQ19" i="1"/>
  <c r="AQ20" i="1"/>
  <c r="AQ21" i="1"/>
  <c r="AQ22" i="1"/>
  <c r="AQ23" i="1"/>
  <c r="AQ24" i="1"/>
  <c r="AQ25" i="1"/>
  <c r="AQ26" i="1"/>
  <c r="AQ27" i="1"/>
  <c r="AQ28" i="1"/>
  <c r="AQ29" i="1"/>
  <c r="AQ30" i="1"/>
  <c r="AQ31" i="1"/>
  <c r="AQ32" i="1"/>
  <c r="AQ33" i="1"/>
  <c r="AQ34" i="1"/>
  <c r="AQ35" i="1"/>
  <c r="AQ36" i="1"/>
  <c r="AQ37" i="1"/>
  <c r="AQ38" i="1"/>
  <c r="AQ39" i="1"/>
  <c r="AQ40" i="1"/>
  <c r="AQ41" i="1"/>
  <c r="AQ42" i="1"/>
  <c r="AQ43" i="1"/>
  <c r="AQ44" i="1"/>
  <c r="AQ45" i="1"/>
  <c r="AQ46" i="1"/>
  <c r="AQ47" i="1"/>
  <c r="AQ48" i="1"/>
  <c r="AQ49" i="1"/>
  <c r="AQ50" i="1"/>
  <c r="AP16" i="1"/>
  <c r="AP17" i="1"/>
  <c r="AP18" i="1"/>
  <c r="AP19" i="1"/>
  <c r="AP20" i="1"/>
  <c r="AP21" i="1"/>
  <c r="AP22" i="1"/>
  <c r="AP23" i="1"/>
  <c r="AP24" i="1"/>
  <c r="AP25" i="1"/>
  <c r="AP26" i="1"/>
  <c r="AP27" i="1"/>
  <c r="AP28" i="1"/>
  <c r="AP29" i="1"/>
  <c r="AP30" i="1"/>
  <c r="AP31" i="1"/>
  <c r="AP32" i="1"/>
  <c r="AP33" i="1"/>
  <c r="AP34" i="1"/>
  <c r="AP35" i="1"/>
  <c r="AP36" i="1"/>
  <c r="AP37" i="1"/>
  <c r="AP38" i="1"/>
  <c r="AP39" i="1"/>
  <c r="AP40" i="1"/>
  <c r="AP41" i="1"/>
  <c r="AP42" i="1"/>
  <c r="AP43" i="1"/>
  <c r="AP44" i="1"/>
  <c r="AP45" i="1"/>
  <c r="AP46" i="1"/>
  <c r="AP47" i="1"/>
  <c r="AP48" i="1"/>
  <c r="AP49" i="1"/>
  <c r="AP50" i="1"/>
  <c r="AQ15" i="1"/>
  <c r="AP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K15" i="1"/>
  <c r="AJ15" i="1"/>
  <c r="AE16" i="1"/>
  <c r="AE17" i="1"/>
  <c r="AE18" i="1"/>
  <c r="AE19" i="1"/>
  <c r="AE20" i="1"/>
  <c r="AE21" i="1"/>
  <c r="AE22" i="1"/>
  <c r="AE23" i="1"/>
  <c r="AE24" i="1"/>
  <c r="AE25" i="1"/>
  <c r="AE26" i="1"/>
  <c r="AE27" i="1"/>
  <c r="AE28" i="1"/>
  <c r="AE29" i="1"/>
  <c r="AE30" i="1"/>
  <c r="AE31" i="1"/>
  <c r="AE32" i="1"/>
  <c r="AE33" i="1"/>
  <c r="AE34" i="1"/>
  <c r="AE35" i="1"/>
  <c r="AE36" i="1"/>
  <c r="AE37" i="1"/>
  <c r="AE38" i="1"/>
  <c r="AE39" i="1"/>
  <c r="AE40" i="1"/>
  <c r="AE41" i="1"/>
  <c r="AE42" i="1"/>
  <c r="AE43" i="1"/>
  <c r="AE44" i="1"/>
  <c r="AE45" i="1"/>
  <c r="AE46" i="1"/>
  <c r="AE47" i="1"/>
  <c r="AE48" i="1"/>
  <c r="AE49" i="1"/>
  <c r="AE50" i="1"/>
  <c r="AD16" i="1"/>
  <c r="AD17" i="1"/>
  <c r="AD18" i="1"/>
  <c r="AD19"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E15" i="1"/>
  <c r="AD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Y15" i="1"/>
  <c r="X15" i="1"/>
  <c r="S15" i="1"/>
  <c r="R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M15" i="1"/>
  <c r="L15" i="1"/>
  <c r="F500" i="1"/>
  <c r="G500" i="1"/>
  <c r="F51" i="1"/>
  <c r="G51" i="1"/>
  <c r="F52" i="1"/>
  <c r="G52" i="1"/>
  <c r="F53" i="1"/>
  <c r="G53" i="1"/>
  <c r="F54" i="1"/>
  <c r="G54" i="1"/>
  <c r="F55" i="1"/>
  <c r="G55" i="1"/>
  <c r="F56" i="1"/>
  <c r="G56" i="1"/>
  <c r="F57" i="1"/>
  <c r="G57" i="1"/>
  <c r="F58" i="1"/>
  <c r="G58" i="1"/>
  <c r="F59" i="1"/>
  <c r="G59" i="1"/>
  <c r="F60" i="1"/>
  <c r="G60" i="1"/>
  <c r="F61" i="1"/>
  <c r="G61" i="1"/>
  <c r="F62" i="1"/>
  <c r="G62" i="1"/>
  <c r="F63" i="1"/>
  <c r="G63" i="1"/>
  <c r="F64" i="1"/>
  <c r="G64" i="1"/>
  <c r="F65" i="1"/>
  <c r="G65" i="1"/>
  <c r="F66" i="1"/>
  <c r="G66" i="1"/>
  <c r="F67" i="1"/>
  <c r="G67" i="1"/>
  <c r="F68" i="1"/>
  <c r="G68" i="1"/>
  <c r="F69" i="1"/>
  <c r="G69" i="1"/>
  <c r="F70" i="1"/>
  <c r="G70" i="1"/>
  <c r="F71" i="1"/>
  <c r="G71" i="1"/>
  <c r="F72" i="1"/>
  <c r="G72" i="1"/>
  <c r="F73" i="1"/>
  <c r="G73" i="1"/>
  <c r="F74" i="1"/>
  <c r="G74" i="1"/>
  <c r="F75" i="1"/>
  <c r="G75" i="1"/>
  <c r="F76" i="1"/>
  <c r="G76" i="1"/>
  <c r="F77" i="1"/>
  <c r="G77" i="1"/>
  <c r="F78" i="1"/>
  <c r="G78" i="1"/>
  <c r="F79" i="1"/>
  <c r="G79" i="1"/>
  <c r="F80" i="1"/>
  <c r="G80" i="1"/>
  <c r="F81" i="1"/>
  <c r="G81" i="1"/>
  <c r="F82" i="1"/>
  <c r="G82" i="1"/>
  <c r="F83" i="1"/>
  <c r="G83" i="1"/>
  <c r="F84" i="1"/>
  <c r="G84" i="1"/>
  <c r="F85" i="1"/>
  <c r="G85" i="1"/>
  <c r="F86" i="1"/>
  <c r="F87" i="1"/>
  <c r="G87" i="1"/>
  <c r="F88" i="1"/>
  <c r="G88" i="1"/>
  <c r="F89" i="1"/>
  <c r="G89" i="1"/>
  <c r="F90" i="1"/>
  <c r="G90" i="1"/>
  <c r="F91" i="1"/>
  <c r="G91" i="1"/>
  <c r="F92" i="1"/>
  <c r="G92" i="1"/>
  <c r="F93" i="1"/>
  <c r="G93" i="1"/>
  <c r="F94" i="1"/>
  <c r="G94" i="1"/>
  <c r="F95" i="1"/>
  <c r="G95" i="1"/>
  <c r="F96" i="1"/>
  <c r="G96" i="1"/>
  <c r="F97" i="1"/>
  <c r="G97" i="1"/>
  <c r="F98" i="1"/>
  <c r="G98" i="1"/>
  <c r="F99" i="1"/>
  <c r="G99" i="1"/>
  <c r="F100" i="1"/>
  <c r="G100" i="1"/>
  <c r="F101" i="1"/>
  <c r="G101" i="1"/>
  <c r="F102" i="1"/>
  <c r="G102" i="1"/>
  <c r="F103" i="1"/>
  <c r="G103" i="1"/>
  <c r="F104" i="1"/>
  <c r="G104" i="1"/>
  <c r="F105" i="1"/>
  <c r="G105" i="1"/>
  <c r="F106" i="1"/>
  <c r="G106" i="1"/>
  <c r="F107" i="1"/>
  <c r="G107" i="1"/>
  <c r="F108" i="1"/>
  <c r="G108" i="1"/>
  <c r="F109" i="1"/>
  <c r="G109" i="1"/>
  <c r="F110" i="1"/>
  <c r="G110" i="1"/>
  <c r="F111" i="1"/>
  <c r="G111" i="1"/>
  <c r="F112" i="1"/>
  <c r="G112" i="1"/>
  <c r="F113" i="1"/>
  <c r="G113" i="1"/>
  <c r="F114" i="1"/>
  <c r="G114" i="1"/>
  <c r="F115" i="1"/>
  <c r="G115" i="1"/>
  <c r="F116" i="1"/>
  <c r="G116" i="1"/>
  <c r="F117" i="1"/>
  <c r="G117" i="1"/>
  <c r="F118" i="1"/>
  <c r="G118" i="1"/>
  <c r="F119" i="1"/>
  <c r="G119" i="1"/>
  <c r="F120" i="1"/>
  <c r="G120" i="1"/>
  <c r="F121" i="1"/>
  <c r="G121" i="1"/>
  <c r="F122" i="1"/>
  <c r="F123" i="1"/>
  <c r="G123" i="1"/>
  <c r="F124" i="1"/>
  <c r="G124" i="1"/>
  <c r="F125" i="1"/>
  <c r="G125" i="1"/>
  <c r="F126" i="1"/>
  <c r="G126" i="1"/>
  <c r="F127" i="1"/>
  <c r="G127" i="1"/>
  <c r="F128" i="1"/>
  <c r="G128" i="1"/>
  <c r="F129" i="1"/>
  <c r="G129" i="1"/>
  <c r="F130" i="1"/>
  <c r="G130" i="1"/>
  <c r="F131" i="1"/>
  <c r="G131" i="1"/>
  <c r="F132" i="1"/>
  <c r="G132" i="1"/>
  <c r="F133" i="1"/>
  <c r="G133" i="1"/>
  <c r="F134" i="1"/>
  <c r="G134" i="1"/>
  <c r="F135" i="1"/>
  <c r="G135" i="1"/>
  <c r="F136" i="1"/>
  <c r="G136" i="1"/>
  <c r="F137" i="1"/>
  <c r="G137" i="1"/>
  <c r="F138" i="1"/>
  <c r="G138" i="1"/>
  <c r="F139" i="1"/>
  <c r="G139" i="1"/>
  <c r="F140" i="1"/>
  <c r="G140" i="1"/>
  <c r="F141" i="1"/>
  <c r="G141" i="1"/>
  <c r="F142" i="1"/>
  <c r="G142" i="1"/>
  <c r="F143" i="1"/>
  <c r="G143" i="1"/>
  <c r="F144" i="1"/>
  <c r="G144" i="1"/>
  <c r="F145" i="1"/>
  <c r="G145" i="1"/>
  <c r="F146" i="1"/>
  <c r="G146" i="1"/>
  <c r="F147" i="1"/>
  <c r="G147" i="1"/>
  <c r="F148" i="1"/>
  <c r="G148" i="1"/>
  <c r="F149" i="1"/>
  <c r="G149" i="1"/>
  <c r="F150" i="1"/>
  <c r="G150" i="1"/>
  <c r="F151" i="1"/>
  <c r="G151" i="1"/>
  <c r="F152" i="1"/>
  <c r="G152" i="1"/>
  <c r="F153" i="1"/>
  <c r="G153" i="1"/>
  <c r="F154" i="1"/>
  <c r="G154" i="1"/>
  <c r="F155" i="1"/>
  <c r="G155" i="1"/>
  <c r="F156" i="1"/>
  <c r="G156" i="1"/>
  <c r="F157" i="1"/>
  <c r="G157" i="1"/>
  <c r="F158" i="1"/>
  <c r="F159" i="1"/>
  <c r="G159" i="1"/>
  <c r="F160" i="1"/>
  <c r="G160" i="1"/>
  <c r="F161" i="1"/>
  <c r="G161" i="1"/>
  <c r="F162" i="1"/>
  <c r="G162" i="1"/>
  <c r="F163" i="1"/>
  <c r="G163" i="1"/>
  <c r="F164" i="1"/>
  <c r="G164" i="1"/>
  <c r="F165" i="1"/>
  <c r="G165" i="1"/>
  <c r="F166" i="1"/>
  <c r="G166" i="1"/>
  <c r="F167" i="1"/>
  <c r="G167" i="1"/>
  <c r="F168" i="1"/>
  <c r="G168" i="1"/>
  <c r="F169" i="1"/>
  <c r="G169" i="1"/>
  <c r="F170" i="1"/>
  <c r="G170" i="1"/>
  <c r="F171" i="1"/>
  <c r="G171" i="1"/>
  <c r="F172" i="1"/>
  <c r="G172" i="1"/>
  <c r="F173" i="1"/>
  <c r="G173" i="1"/>
  <c r="F174" i="1"/>
  <c r="G174" i="1"/>
  <c r="F175" i="1"/>
  <c r="G175" i="1"/>
  <c r="F176" i="1"/>
  <c r="G176" i="1"/>
  <c r="F177" i="1"/>
  <c r="G177" i="1"/>
  <c r="F178" i="1"/>
  <c r="G178" i="1"/>
  <c r="F179" i="1"/>
  <c r="G179" i="1"/>
  <c r="F180" i="1"/>
  <c r="G180" i="1"/>
  <c r="F181" i="1"/>
  <c r="G181" i="1"/>
  <c r="F182" i="1"/>
  <c r="G182" i="1"/>
  <c r="F183" i="1"/>
  <c r="G183" i="1"/>
  <c r="F184" i="1"/>
  <c r="G184" i="1"/>
  <c r="F185" i="1"/>
  <c r="G185" i="1"/>
  <c r="F186" i="1"/>
  <c r="G186" i="1"/>
  <c r="F187" i="1"/>
  <c r="G187" i="1"/>
  <c r="F188" i="1"/>
  <c r="G188" i="1"/>
  <c r="F189" i="1"/>
  <c r="G189" i="1"/>
  <c r="F190" i="1"/>
  <c r="G190" i="1"/>
  <c r="F191" i="1"/>
  <c r="G191" i="1"/>
  <c r="F192" i="1"/>
  <c r="G192" i="1"/>
  <c r="F193" i="1"/>
  <c r="G193" i="1"/>
  <c r="F194" i="1"/>
  <c r="F195" i="1"/>
  <c r="G195" i="1"/>
  <c r="F196" i="1"/>
  <c r="G196" i="1"/>
  <c r="F197" i="1"/>
  <c r="G197" i="1"/>
  <c r="F198" i="1"/>
  <c r="G198" i="1"/>
  <c r="F199" i="1"/>
  <c r="G199" i="1"/>
  <c r="F200" i="1"/>
  <c r="G200" i="1"/>
  <c r="F201" i="1"/>
  <c r="G201" i="1"/>
  <c r="F202" i="1"/>
  <c r="G202" i="1"/>
  <c r="F203" i="1"/>
  <c r="G203" i="1"/>
  <c r="F204" i="1"/>
  <c r="G204" i="1"/>
  <c r="F205" i="1"/>
  <c r="G205" i="1"/>
  <c r="F206" i="1"/>
  <c r="G206" i="1"/>
  <c r="F207" i="1"/>
  <c r="G207" i="1"/>
  <c r="F208" i="1"/>
  <c r="G208" i="1"/>
  <c r="F209" i="1"/>
  <c r="G209" i="1"/>
  <c r="F210" i="1"/>
  <c r="G210" i="1"/>
  <c r="F211" i="1"/>
  <c r="G211" i="1"/>
  <c r="F212" i="1"/>
  <c r="G212" i="1"/>
  <c r="F213" i="1"/>
  <c r="G213" i="1"/>
  <c r="F214" i="1"/>
  <c r="G214" i="1"/>
  <c r="F215" i="1"/>
  <c r="G215" i="1"/>
  <c r="F216" i="1"/>
  <c r="G216" i="1"/>
  <c r="F217" i="1"/>
  <c r="G217" i="1"/>
  <c r="F218" i="1"/>
  <c r="G218" i="1"/>
  <c r="F219" i="1"/>
  <c r="G219" i="1"/>
  <c r="F220" i="1"/>
  <c r="G220" i="1"/>
  <c r="F221" i="1"/>
  <c r="G221" i="1"/>
  <c r="F222" i="1"/>
  <c r="G222" i="1"/>
  <c r="F223" i="1"/>
  <c r="G223" i="1"/>
  <c r="F224" i="1"/>
  <c r="G224" i="1"/>
  <c r="F225" i="1"/>
  <c r="G225" i="1"/>
  <c r="F226" i="1"/>
  <c r="G226" i="1"/>
  <c r="F227" i="1"/>
  <c r="G227" i="1"/>
  <c r="F228" i="1"/>
  <c r="G228" i="1"/>
  <c r="F229" i="1"/>
  <c r="G229" i="1"/>
  <c r="F230" i="1"/>
  <c r="F231" i="1"/>
  <c r="G231" i="1"/>
  <c r="F232" i="1"/>
  <c r="G232" i="1"/>
  <c r="F233" i="1"/>
  <c r="G233" i="1"/>
  <c r="F234" i="1"/>
  <c r="G234" i="1"/>
  <c r="F235" i="1"/>
  <c r="G235" i="1"/>
  <c r="F236" i="1"/>
  <c r="G236" i="1"/>
  <c r="F237" i="1"/>
  <c r="G237" i="1"/>
  <c r="F238" i="1"/>
  <c r="G238" i="1"/>
  <c r="F239" i="1"/>
  <c r="G239" i="1"/>
  <c r="F240" i="1"/>
  <c r="G240" i="1"/>
  <c r="F241" i="1"/>
  <c r="G241" i="1"/>
  <c r="F242" i="1"/>
  <c r="G242" i="1"/>
  <c r="F243" i="1"/>
  <c r="G243" i="1"/>
  <c r="F244" i="1"/>
  <c r="G244" i="1"/>
  <c r="F245" i="1"/>
  <c r="G245" i="1"/>
  <c r="F246" i="1"/>
  <c r="G246" i="1"/>
  <c r="F247" i="1"/>
  <c r="G247" i="1"/>
  <c r="F248" i="1"/>
  <c r="G248" i="1"/>
  <c r="F249" i="1"/>
  <c r="G249" i="1"/>
  <c r="F250" i="1"/>
  <c r="G250" i="1"/>
  <c r="F251" i="1"/>
  <c r="G251" i="1"/>
  <c r="F252" i="1"/>
  <c r="G252" i="1"/>
  <c r="F253" i="1"/>
  <c r="G253" i="1"/>
  <c r="F254" i="1"/>
  <c r="G254" i="1"/>
  <c r="F255" i="1"/>
  <c r="G255" i="1"/>
  <c r="F256" i="1"/>
  <c r="G256" i="1"/>
  <c r="F257" i="1"/>
  <c r="G257" i="1"/>
  <c r="F258" i="1"/>
  <c r="G258" i="1"/>
  <c r="F259" i="1"/>
  <c r="G259" i="1"/>
  <c r="F260" i="1"/>
  <c r="G260" i="1"/>
  <c r="F261" i="1"/>
  <c r="G261" i="1"/>
  <c r="F262" i="1"/>
  <c r="G262" i="1"/>
  <c r="F263" i="1"/>
  <c r="G263" i="1"/>
  <c r="F264" i="1"/>
  <c r="G264" i="1"/>
  <c r="F265" i="1"/>
  <c r="G265" i="1"/>
  <c r="F266" i="1"/>
  <c r="F267" i="1"/>
  <c r="G267" i="1"/>
  <c r="F268" i="1"/>
  <c r="G268" i="1"/>
  <c r="F269" i="1"/>
  <c r="G269" i="1"/>
  <c r="F270" i="1"/>
  <c r="G270" i="1"/>
  <c r="F271" i="1"/>
  <c r="G271" i="1"/>
  <c r="F272" i="1"/>
  <c r="G272" i="1"/>
  <c r="F273" i="1"/>
  <c r="G273" i="1"/>
  <c r="F274" i="1"/>
  <c r="G274" i="1"/>
  <c r="F275" i="1"/>
  <c r="G275" i="1"/>
  <c r="F276" i="1"/>
  <c r="G276" i="1"/>
  <c r="F277" i="1"/>
  <c r="G277" i="1"/>
  <c r="F278" i="1"/>
  <c r="G278" i="1"/>
  <c r="F279" i="1"/>
  <c r="G279" i="1"/>
  <c r="F280" i="1"/>
  <c r="G280" i="1"/>
  <c r="F281" i="1"/>
  <c r="G281" i="1"/>
  <c r="F282" i="1"/>
  <c r="G282" i="1"/>
  <c r="F283" i="1"/>
  <c r="G283" i="1"/>
  <c r="F284" i="1"/>
  <c r="G284" i="1"/>
  <c r="F285" i="1"/>
  <c r="G285" i="1"/>
  <c r="F286" i="1"/>
  <c r="G286" i="1"/>
  <c r="F287" i="1"/>
  <c r="G287" i="1"/>
  <c r="F288" i="1"/>
  <c r="G288" i="1"/>
  <c r="F289" i="1"/>
  <c r="G289" i="1"/>
  <c r="F290" i="1"/>
  <c r="G290" i="1"/>
  <c r="F291" i="1"/>
  <c r="G291" i="1"/>
  <c r="F292" i="1"/>
  <c r="G292" i="1"/>
  <c r="F293" i="1"/>
  <c r="G293" i="1"/>
  <c r="F294" i="1"/>
  <c r="G294" i="1"/>
  <c r="F295" i="1"/>
  <c r="G295" i="1"/>
  <c r="F296" i="1"/>
  <c r="G296" i="1"/>
  <c r="F297" i="1"/>
  <c r="G297" i="1"/>
  <c r="F298" i="1"/>
  <c r="G298" i="1"/>
  <c r="F299" i="1"/>
  <c r="G299" i="1"/>
  <c r="F300" i="1"/>
  <c r="G300" i="1"/>
  <c r="F301" i="1"/>
  <c r="G301" i="1"/>
  <c r="F302" i="1"/>
  <c r="F303" i="1"/>
  <c r="G303" i="1"/>
  <c r="F304" i="1"/>
  <c r="G304" i="1"/>
  <c r="F305" i="1"/>
  <c r="G305" i="1"/>
  <c r="F306" i="1"/>
  <c r="G306" i="1"/>
  <c r="F307" i="1"/>
  <c r="G307" i="1"/>
  <c r="F308" i="1"/>
  <c r="G308" i="1"/>
  <c r="F309" i="1"/>
  <c r="G309" i="1"/>
  <c r="F310" i="1"/>
  <c r="G310" i="1"/>
  <c r="F311" i="1"/>
  <c r="G311" i="1"/>
  <c r="F312" i="1"/>
  <c r="G312" i="1"/>
  <c r="F313" i="1"/>
  <c r="G313" i="1"/>
  <c r="F314" i="1"/>
  <c r="G314" i="1"/>
  <c r="F315" i="1"/>
  <c r="G315" i="1"/>
  <c r="F316" i="1"/>
  <c r="G316" i="1"/>
  <c r="F317" i="1"/>
  <c r="G317" i="1"/>
  <c r="F318" i="1"/>
  <c r="G318" i="1"/>
  <c r="F319" i="1"/>
  <c r="G319" i="1"/>
  <c r="F320" i="1"/>
  <c r="G320" i="1"/>
  <c r="F321" i="1"/>
  <c r="G321" i="1"/>
  <c r="F322" i="1"/>
  <c r="G322" i="1"/>
  <c r="F323" i="1"/>
  <c r="G323" i="1"/>
  <c r="F324" i="1"/>
  <c r="G324" i="1"/>
  <c r="F325" i="1"/>
  <c r="G325" i="1"/>
  <c r="F326" i="1"/>
  <c r="G326" i="1"/>
  <c r="F327" i="1"/>
  <c r="G327" i="1"/>
  <c r="F328" i="1"/>
  <c r="G328" i="1"/>
  <c r="F329" i="1"/>
  <c r="G329" i="1"/>
  <c r="F330" i="1"/>
  <c r="G330" i="1"/>
  <c r="F331" i="1"/>
  <c r="G331" i="1"/>
  <c r="F332" i="1"/>
  <c r="G332" i="1"/>
  <c r="F333" i="1"/>
  <c r="G333" i="1"/>
  <c r="F334" i="1"/>
  <c r="G334" i="1"/>
  <c r="F335" i="1"/>
  <c r="G335" i="1"/>
  <c r="F336" i="1"/>
  <c r="G336" i="1"/>
  <c r="F337" i="1"/>
  <c r="G337" i="1"/>
  <c r="F338" i="1"/>
  <c r="F339" i="1"/>
  <c r="G339" i="1"/>
  <c r="F340" i="1"/>
  <c r="G340" i="1"/>
  <c r="F341" i="1"/>
  <c r="G341" i="1"/>
  <c r="F342" i="1"/>
  <c r="G342" i="1"/>
  <c r="F343" i="1"/>
  <c r="G343" i="1"/>
  <c r="F344" i="1"/>
  <c r="G344" i="1"/>
  <c r="F345" i="1"/>
  <c r="G345" i="1"/>
  <c r="F346" i="1"/>
  <c r="G346" i="1"/>
  <c r="F347" i="1"/>
  <c r="G347" i="1"/>
  <c r="F348" i="1"/>
  <c r="G348" i="1"/>
  <c r="F349" i="1"/>
  <c r="G349" i="1"/>
  <c r="F350" i="1"/>
  <c r="G350" i="1"/>
  <c r="F351" i="1"/>
  <c r="G351" i="1"/>
  <c r="F352" i="1"/>
  <c r="G352" i="1"/>
  <c r="F353" i="1"/>
  <c r="G353" i="1"/>
  <c r="F354" i="1"/>
  <c r="G354" i="1"/>
  <c r="F355" i="1"/>
  <c r="G355" i="1"/>
  <c r="F356" i="1"/>
  <c r="G356" i="1"/>
  <c r="F357" i="1"/>
  <c r="G357" i="1"/>
  <c r="F358" i="1"/>
  <c r="G358" i="1"/>
  <c r="F359" i="1"/>
  <c r="G359" i="1"/>
  <c r="F360" i="1"/>
  <c r="G360" i="1"/>
  <c r="F361" i="1"/>
  <c r="G361" i="1"/>
  <c r="F362" i="1"/>
  <c r="G362" i="1"/>
  <c r="F363" i="1"/>
  <c r="G363" i="1"/>
  <c r="F364" i="1"/>
  <c r="G364" i="1"/>
  <c r="F365" i="1"/>
  <c r="G365" i="1"/>
  <c r="F366" i="1"/>
  <c r="G366" i="1"/>
  <c r="F367" i="1"/>
  <c r="G367" i="1"/>
  <c r="F368" i="1"/>
  <c r="G368" i="1"/>
  <c r="F369" i="1"/>
  <c r="G369" i="1"/>
  <c r="F370" i="1"/>
  <c r="G370" i="1"/>
  <c r="F371" i="1"/>
  <c r="G371" i="1"/>
  <c r="F372" i="1"/>
  <c r="G372" i="1"/>
  <c r="F373" i="1"/>
  <c r="G373" i="1"/>
  <c r="F374" i="1"/>
  <c r="F375" i="1"/>
  <c r="G375" i="1"/>
  <c r="F376" i="1"/>
  <c r="G376" i="1"/>
  <c r="F377" i="1"/>
  <c r="G377" i="1"/>
  <c r="F378" i="1"/>
  <c r="G378" i="1"/>
  <c r="F379" i="1"/>
  <c r="G379" i="1"/>
  <c r="F380" i="1"/>
  <c r="G380" i="1"/>
  <c r="F381" i="1"/>
  <c r="G381" i="1"/>
  <c r="F382" i="1"/>
  <c r="G382" i="1"/>
  <c r="F383" i="1"/>
  <c r="G383" i="1"/>
  <c r="F384" i="1"/>
  <c r="G384" i="1"/>
  <c r="F385" i="1"/>
  <c r="G385" i="1"/>
  <c r="F386" i="1"/>
  <c r="G386" i="1"/>
  <c r="F387" i="1"/>
  <c r="G387" i="1"/>
  <c r="F388" i="1"/>
  <c r="G388" i="1"/>
  <c r="F389" i="1"/>
  <c r="G389" i="1"/>
  <c r="F390" i="1"/>
  <c r="G390" i="1"/>
  <c r="F391" i="1"/>
  <c r="G391" i="1"/>
  <c r="F392" i="1"/>
  <c r="G392" i="1"/>
  <c r="F393" i="1"/>
  <c r="G393" i="1"/>
  <c r="F394" i="1"/>
  <c r="G394" i="1"/>
  <c r="F395" i="1"/>
  <c r="G395" i="1"/>
  <c r="F396" i="1"/>
  <c r="G396" i="1"/>
  <c r="F397" i="1"/>
  <c r="G397" i="1"/>
  <c r="F398" i="1"/>
  <c r="G398" i="1"/>
  <c r="F399" i="1"/>
  <c r="G399" i="1"/>
  <c r="F400" i="1"/>
  <c r="G400" i="1"/>
  <c r="F401" i="1"/>
  <c r="G401" i="1"/>
  <c r="F402" i="1"/>
  <c r="G402" i="1"/>
  <c r="F403" i="1"/>
  <c r="G403" i="1"/>
  <c r="F404" i="1"/>
  <c r="G404" i="1"/>
  <c r="F405" i="1"/>
  <c r="G405" i="1"/>
  <c r="F406" i="1"/>
  <c r="G406" i="1"/>
  <c r="F407" i="1"/>
  <c r="G407" i="1"/>
  <c r="F408" i="1"/>
  <c r="G408" i="1"/>
  <c r="F409" i="1"/>
  <c r="G409" i="1"/>
  <c r="F410" i="1"/>
  <c r="F411" i="1"/>
  <c r="G411" i="1"/>
  <c r="F412" i="1"/>
  <c r="G412" i="1"/>
  <c r="F413" i="1"/>
  <c r="G413" i="1"/>
  <c r="F414" i="1"/>
  <c r="G414" i="1"/>
  <c r="F415" i="1"/>
  <c r="G415" i="1"/>
  <c r="F416" i="1"/>
  <c r="G416" i="1"/>
  <c r="F417" i="1"/>
  <c r="G417" i="1"/>
  <c r="F418" i="1"/>
  <c r="G418" i="1"/>
  <c r="F419" i="1"/>
  <c r="G419" i="1"/>
  <c r="F420" i="1"/>
  <c r="G420" i="1"/>
  <c r="F421" i="1"/>
  <c r="G421" i="1"/>
  <c r="F422" i="1"/>
  <c r="G422" i="1"/>
  <c r="F423" i="1"/>
  <c r="G423" i="1"/>
  <c r="F424" i="1"/>
  <c r="G424" i="1"/>
  <c r="F425" i="1"/>
  <c r="G425" i="1"/>
  <c r="F426" i="1"/>
  <c r="G426" i="1"/>
  <c r="F427" i="1"/>
  <c r="G427" i="1"/>
  <c r="F428" i="1"/>
  <c r="G428" i="1"/>
  <c r="F429" i="1"/>
  <c r="G429" i="1"/>
  <c r="F430" i="1"/>
  <c r="G430" i="1"/>
  <c r="F431" i="1"/>
  <c r="G431" i="1"/>
  <c r="F432" i="1"/>
  <c r="G432" i="1"/>
  <c r="F433" i="1"/>
  <c r="G433" i="1"/>
  <c r="F434" i="1"/>
  <c r="G434" i="1"/>
  <c r="F435" i="1"/>
  <c r="G435" i="1"/>
  <c r="F436" i="1"/>
  <c r="G436" i="1"/>
  <c r="F437" i="1"/>
  <c r="G437" i="1"/>
  <c r="F438" i="1"/>
  <c r="G438" i="1"/>
  <c r="F439" i="1"/>
  <c r="G439" i="1"/>
  <c r="F440" i="1"/>
  <c r="G440" i="1"/>
  <c r="F441" i="1"/>
  <c r="G441" i="1"/>
  <c r="F442" i="1"/>
  <c r="G442" i="1"/>
  <c r="F443" i="1"/>
  <c r="G443" i="1"/>
  <c r="F444" i="1"/>
  <c r="G444" i="1"/>
  <c r="F445" i="1"/>
  <c r="G445" i="1"/>
  <c r="F446" i="1"/>
  <c r="F447" i="1"/>
  <c r="G447" i="1"/>
  <c r="F448" i="1"/>
  <c r="G448" i="1"/>
  <c r="F449" i="1"/>
  <c r="G449" i="1"/>
  <c r="F450" i="1"/>
  <c r="G450" i="1"/>
  <c r="F451" i="1"/>
  <c r="G451" i="1"/>
  <c r="F452" i="1"/>
  <c r="G452" i="1"/>
  <c r="F453" i="1"/>
  <c r="G453" i="1"/>
  <c r="F454" i="1"/>
  <c r="G454" i="1"/>
  <c r="F455" i="1"/>
  <c r="G455" i="1"/>
  <c r="F456" i="1"/>
  <c r="G456" i="1"/>
  <c r="F457" i="1"/>
  <c r="G457" i="1"/>
  <c r="F458" i="1"/>
  <c r="G458" i="1"/>
  <c r="F459" i="1"/>
  <c r="G459" i="1"/>
  <c r="F460" i="1"/>
  <c r="G460" i="1"/>
  <c r="F461" i="1"/>
  <c r="G461" i="1"/>
  <c r="F462" i="1"/>
  <c r="G462" i="1"/>
  <c r="F463" i="1"/>
  <c r="G463" i="1"/>
  <c r="F464" i="1"/>
  <c r="G464" i="1"/>
  <c r="F465" i="1"/>
  <c r="G465" i="1"/>
  <c r="F466" i="1"/>
  <c r="G466" i="1"/>
  <c r="F467" i="1"/>
  <c r="G467" i="1"/>
  <c r="F468" i="1"/>
  <c r="G468" i="1"/>
  <c r="F469" i="1"/>
  <c r="G469" i="1"/>
  <c r="F470" i="1"/>
  <c r="G470" i="1"/>
  <c r="F471" i="1"/>
  <c r="G471" i="1"/>
  <c r="F472" i="1"/>
  <c r="G472" i="1"/>
  <c r="F473" i="1"/>
  <c r="G473" i="1"/>
  <c r="F474" i="1"/>
  <c r="G474" i="1"/>
  <c r="F475" i="1"/>
  <c r="G475" i="1"/>
  <c r="F476" i="1"/>
  <c r="G476" i="1"/>
  <c r="F477" i="1"/>
  <c r="G477" i="1"/>
  <c r="F478" i="1"/>
  <c r="G478" i="1"/>
  <c r="F479" i="1"/>
  <c r="G479" i="1"/>
  <c r="F480" i="1"/>
  <c r="G480" i="1"/>
  <c r="F481" i="1"/>
  <c r="G481" i="1"/>
  <c r="F482" i="1"/>
  <c r="F483" i="1"/>
  <c r="G483" i="1"/>
  <c r="F484" i="1"/>
  <c r="G484" i="1"/>
  <c r="F485" i="1"/>
  <c r="G485" i="1"/>
  <c r="F486" i="1"/>
  <c r="G486" i="1"/>
  <c r="F487" i="1"/>
  <c r="G487" i="1"/>
  <c r="F488" i="1"/>
  <c r="G488" i="1"/>
  <c r="F489" i="1"/>
  <c r="G489" i="1"/>
  <c r="F490" i="1"/>
  <c r="G490" i="1"/>
  <c r="F491" i="1"/>
  <c r="G491" i="1"/>
  <c r="F492" i="1"/>
  <c r="G492" i="1"/>
  <c r="F493" i="1"/>
  <c r="G493" i="1"/>
  <c r="F494" i="1"/>
  <c r="G494" i="1"/>
  <c r="F495" i="1"/>
  <c r="G495" i="1"/>
  <c r="F496" i="1"/>
  <c r="G496" i="1"/>
  <c r="F497" i="1"/>
  <c r="G497" i="1"/>
  <c r="F498" i="1"/>
  <c r="G498" i="1"/>
  <c r="F499" i="1"/>
  <c r="G499"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15" i="1"/>
  <c r="BE11" i="1" l="1"/>
  <c r="AY11" i="1"/>
  <c r="AS11" i="1"/>
  <c r="AM11" i="1"/>
  <c r="AG11" i="1"/>
  <c r="AA11" i="1"/>
  <c r="U11" i="1"/>
  <c r="O11" i="1"/>
  <c r="I11" i="1"/>
  <c r="C11" i="1"/>
  <c r="AH6" i="12" l="1"/>
  <c r="AI6" i="12" s="1"/>
  <c r="AH7" i="12"/>
  <c r="AI7" i="12" s="1"/>
  <c r="AH8" i="12"/>
  <c r="AI8" i="12" s="1"/>
  <c r="AH9" i="12"/>
  <c r="AI9" i="12" s="1"/>
  <c r="AH10" i="12"/>
  <c r="AI10" i="12" s="1"/>
  <c r="AH11" i="12"/>
  <c r="AI11" i="12" s="1"/>
  <c r="AH12" i="12"/>
  <c r="AI12" i="12" s="1"/>
  <c r="AH13" i="12"/>
  <c r="AI13" i="12" s="1"/>
  <c r="AH14" i="12"/>
  <c r="AI14" i="12" s="1"/>
  <c r="AH15" i="12"/>
  <c r="AI15" i="12" s="1"/>
  <c r="AH16" i="12"/>
  <c r="AI16" i="12" s="1"/>
  <c r="AH17" i="12"/>
  <c r="AI17" i="12" s="1"/>
  <c r="AH18" i="12"/>
  <c r="AI18" i="12" s="1"/>
  <c r="AH19" i="12"/>
  <c r="AI19" i="12" s="1"/>
  <c r="AH20" i="12"/>
  <c r="AI20" i="12" s="1"/>
  <c r="AH21" i="12"/>
  <c r="AI21" i="12" s="1"/>
  <c r="AH22" i="12"/>
  <c r="AI22" i="12" s="1"/>
  <c r="AH23" i="12"/>
  <c r="AI23" i="12" s="1"/>
  <c r="AH24" i="12"/>
  <c r="AI24" i="12" s="1"/>
  <c r="AH25" i="12"/>
  <c r="AI25" i="12" s="1"/>
  <c r="AH26" i="12"/>
  <c r="AI26" i="12" s="1"/>
  <c r="AH27" i="12"/>
  <c r="AI27" i="12" s="1"/>
  <c r="AH28" i="12"/>
  <c r="AI28" i="12" s="1"/>
  <c r="AH29" i="12"/>
  <c r="AI29" i="12" s="1"/>
  <c r="AH30" i="12"/>
  <c r="AI30" i="12" s="1"/>
  <c r="AH31" i="12"/>
  <c r="AI31" i="12" s="1"/>
  <c r="AH32" i="12"/>
  <c r="AI32" i="12" s="1"/>
  <c r="AH33" i="12"/>
  <c r="AI33" i="12" s="1"/>
  <c r="AH34" i="12"/>
  <c r="AI34" i="12" s="1"/>
  <c r="AH35" i="12"/>
  <c r="AI35" i="12" s="1"/>
  <c r="AH36" i="12"/>
  <c r="AI36" i="12" s="1"/>
  <c r="AH37" i="12"/>
  <c r="AI37" i="12" s="1"/>
  <c r="AH38" i="12"/>
  <c r="AI38" i="12" s="1"/>
  <c r="AH39" i="12"/>
  <c r="AI39" i="12" s="1"/>
  <c r="AH40" i="12"/>
  <c r="AI40" i="12" s="1"/>
  <c r="AH41" i="12"/>
  <c r="AI41" i="12" s="1"/>
  <c r="AH42" i="12"/>
  <c r="AI42" i="12" s="1"/>
  <c r="AH43" i="12"/>
  <c r="AI43" i="12" s="1"/>
  <c r="AH44" i="12"/>
  <c r="AI44" i="12" s="1"/>
  <c r="AH45" i="12"/>
  <c r="AI45" i="12" s="1"/>
  <c r="AH46" i="12"/>
  <c r="AI46" i="12" s="1"/>
  <c r="AH47" i="12"/>
  <c r="AI47" i="12" s="1"/>
  <c r="AH48" i="12"/>
  <c r="AI48" i="12" s="1"/>
  <c r="AH49" i="12"/>
  <c r="AI49" i="12" s="1"/>
  <c r="AH50" i="12"/>
  <c r="AI50" i="12" s="1"/>
  <c r="AH51" i="12"/>
  <c r="AI51" i="12" s="1"/>
  <c r="AH52" i="12"/>
  <c r="AI52" i="12" s="1"/>
  <c r="AH53" i="12"/>
  <c r="AI53" i="12" s="1"/>
  <c r="AH54" i="12"/>
  <c r="AI54" i="12" s="1"/>
  <c r="AH55" i="12"/>
  <c r="AI55" i="12" s="1"/>
  <c r="AH56" i="12"/>
  <c r="AI56" i="12" s="1"/>
  <c r="AH57" i="12"/>
  <c r="AI57" i="12" s="1"/>
  <c r="AH58" i="12"/>
  <c r="AI58" i="12" s="1"/>
  <c r="AH59" i="12"/>
  <c r="AI59" i="12" s="1"/>
  <c r="AH60" i="12"/>
  <c r="AI60" i="12" s="1"/>
  <c r="AH61" i="12"/>
  <c r="AI61" i="12" s="1"/>
  <c r="AH62" i="12"/>
  <c r="AI62" i="12" s="1"/>
  <c r="AH63" i="12"/>
  <c r="AI63" i="12" s="1"/>
  <c r="AH64" i="12"/>
  <c r="AI64" i="12" s="1"/>
  <c r="AH65" i="12"/>
  <c r="AI65" i="12" s="1"/>
  <c r="AH66" i="12"/>
  <c r="AI66" i="12" s="1"/>
  <c r="AH67" i="12"/>
  <c r="AI67" i="12" s="1"/>
  <c r="AH68" i="12"/>
  <c r="AI68" i="12" s="1"/>
  <c r="AH69" i="12"/>
  <c r="AI69" i="12" s="1"/>
  <c r="AH70" i="12"/>
  <c r="AI70" i="12" s="1"/>
  <c r="AH71" i="12"/>
  <c r="AI71" i="12" s="1"/>
  <c r="AH72" i="12"/>
  <c r="AI72" i="12" s="1"/>
  <c r="AH73" i="12"/>
  <c r="AI73" i="12" s="1"/>
  <c r="AH74" i="12"/>
  <c r="AI74" i="12" s="1"/>
  <c r="AH75" i="12"/>
  <c r="AI75" i="12" s="1"/>
  <c r="AH76" i="12"/>
  <c r="AI76" i="12" s="1"/>
  <c r="AH77" i="12"/>
  <c r="AI77" i="12" s="1"/>
  <c r="AH78" i="12"/>
  <c r="AI78" i="12" s="1"/>
  <c r="AH79" i="12"/>
  <c r="AI79" i="12" s="1"/>
  <c r="AH80" i="12"/>
  <c r="AI80" i="12" s="1"/>
  <c r="AH81" i="12"/>
  <c r="AI81" i="12" s="1"/>
  <c r="AH82" i="12"/>
  <c r="AI82" i="12" s="1"/>
  <c r="AH83" i="12"/>
  <c r="AI83" i="12" s="1"/>
  <c r="AH84" i="12"/>
  <c r="AI84" i="12" s="1"/>
  <c r="AH85" i="12"/>
  <c r="AI85" i="12" s="1"/>
  <c r="AH86" i="12"/>
  <c r="AI86" i="12" s="1"/>
  <c r="AH87" i="12"/>
  <c r="AI87" i="12" s="1"/>
  <c r="AH88" i="12"/>
  <c r="AI88" i="12" s="1"/>
  <c r="AH89" i="12"/>
  <c r="AI89" i="12" s="1"/>
  <c r="AH90" i="12"/>
  <c r="AI90" i="12" s="1"/>
  <c r="AH91" i="12"/>
  <c r="AI91" i="12" s="1"/>
  <c r="AH92" i="12"/>
  <c r="AI92" i="12" s="1"/>
  <c r="AH93" i="12"/>
  <c r="AI93" i="12" s="1"/>
  <c r="AH94" i="12"/>
  <c r="AI94" i="12" s="1"/>
  <c r="AH95" i="12"/>
  <c r="AI95" i="12" s="1"/>
  <c r="AH96" i="12"/>
  <c r="AI96" i="12" s="1"/>
  <c r="AH97" i="12"/>
  <c r="AI97" i="12" s="1"/>
  <c r="AH98" i="12"/>
  <c r="AI98" i="12" s="1"/>
  <c r="AH99" i="12"/>
  <c r="AI99" i="12" s="1"/>
  <c r="AH100" i="12"/>
  <c r="AI100" i="12" s="1"/>
  <c r="AH101" i="12"/>
  <c r="AI101" i="12" s="1"/>
  <c r="AH102" i="12"/>
  <c r="AI102" i="12" s="1"/>
  <c r="AH103" i="12"/>
  <c r="AI103" i="12" s="1"/>
  <c r="AH104" i="12"/>
  <c r="AI104" i="12" s="1"/>
  <c r="AH105" i="12"/>
  <c r="AI105" i="12" s="1"/>
  <c r="AH106" i="12"/>
  <c r="AI106" i="12" s="1"/>
  <c r="AH107" i="12"/>
  <c r="AI107" i="12" s="1"/>
  <c r="AH108" i="12"/>
  <c r="AI108" i="12" s="1"/>
  <c r="AH109" i="12"/>
  <c r="AI109" i="12" s="1"/>
  <c r="AH110" i="12"/>
  <c r="AI110" i="12" s="1"/>
  <c r="AH111" i="12"/>
  <c r="AI111" i="12" s="1"/>
  <c r="AH112" i="12"/>
  <c r="AI112" i="12" s="1"/>
  <c r="AH113" i="12"/>
  <c r="AI113" i="12" s="1"/>
  <c r="AH114" i="12"/>
  <c r="AI114" i="12" s="1"/>
  <c r="AH115" i="12"/>
  <c r="AI115" i="12" s="1"/>
  <c r="AH116" i="12"/>
  <c r="AI116" i="12" s="1"/>
  <c r="AH117" i="12"/>
  <c r="AI117" i="12" s="1"/>
  <c r="AH118" i="12"/>
  <c r="AI118" i="12" s="1"/>
  <c r="AH119" i="12"/>
  <c r="AI119" i="12" s="1"/>
  <c r="AH120" i="12"/>
  <c r="AI120" i="12" s="1"/>
  <c r="AH121" i="12"/>
  <c r="AI121" i="12" s="1"/>
  <c r="AH122" i="12"/>
  <c r="AI122" i="12" s="1"/>
  <c r="AH123" i="12"/>
  <c r="AI123" i="12" s="1"/>
  <c r="AH124" i="12"/>
  <c r="AI124" i="12" s="1"/>
  <c r="AH125" i="12"/>
  <c r="AI125" i="12" s="1"/>
  <c r="AH126" i="12"/>
  <c r="AI126" i="12" s="1"/>
  <c r="AH127" i="12"/>
  <c r="AI127" i="12" s="1"/>
  <c r="AH128" i="12"/>
  <c r="AI128" i="12" s="1"/>
  <c r="AH129" i="12"/>
  <c r="AI129" i="12" s="1"/>
  <c r="AH130" i="12"/>
  <c r="AI130" i="12" s="1"/>
  <c r="AH131" i="12"/>
  <c r="AI131" i="12" s="1"/>
  <c r="AH132" i="12"/>
  <c r="AI132" i="12" s="1"/>
  <c r="AH133" i="12"/>
  <c r="AI133" i="12" s="1"/>
  <c r="AH134" i="12"/>
  <c r="AI134" i="12" s="1"/>
  <c r="AH135" i="12"/>
  <c r="AI135" i="12" s="1"/>
  <c r="AH136" i="12"/>
  <c r="AI136" i="12" s="1"/>
  <c r="AH137" i="12"/>
  <c r="AI137" i="12" s="1"/>
  <c r="AH138" i="12"/>
  <c r="AI138" i="12" s="1"/>
  <c r="AH139" i="12"/>
  <c r="AI139" i="12" s="1"/>
  <c r="AH140" i="12"/>
  <c r="AI140" i="12" s="1"/>
  <c r="AH141" i="12"/>
  <c r="AI141" i="12" s="1"/>
  <c r="AH142" i="12"/>
  <c r="AI142" i="12" s="1"/>
  <c r="AH143" i="12"/>
  <c r="AI143" i="12" s="1"/>
  <c r="AH144" i="12"/>
  <c r="AI144" i="12" s="1"/>
  <c r="AH145" i="12"/>
  <c r="AI145" i="12" s="1"/>
  <c r="AH146" i="12"/>
  <c r="AI146" i="12" s="1"/>
  <c r="AH147" i="12"/>
  <c r="AI147" i="12" s="1"/>
  <c r="AH148" i="12"/>
  <c r="AI148" i="12" s="1"/>
  <c r="AH149" i="12"/>
  <c r="AI149" i="12" s="1"/>
  <c r="AH150" i="12"/>
  <c r="AI150" i="12" s="1"/>
  <c r="AH151" i="12"/>
  <c r="AI151" i="12" s="1"/>
  <c r="AH152" i="12"/>
  <c r="AI152" i="12" s="1"/>
  <c r="AH153" i="12"/>
  <c r="AI153" i="12" s="1"/>
  <c r="AH154" i="12"/>
  <c r="AI154" i="12" s="1"/>
  <c r="AH155" i="12"/>
  <c r="AI155" i="12" s="1"/>
  <c r="AH156" i="12"/>
  <c r="AI156" i="12" s="1"/>
  <c r="AH157" i="12"/>
  <c r="AI157" i="12" s="1"/>
  <c r="AH158" i="12"/>
  <c r="AI158" i="12" s="1"/>
  <c r="AH159" i="12"/>
  <c r="AI159" i="12" s="1"/>
  <c r="AH160" i="12"/>
  <c r="AI160" i="12" s="1"/>
  <c r="AH161" i="12"/>
  <c r="AI161" i="12" s="1"/>
  <c r="AH162" i="12"/>
  <c r="AI162" i="12" s="1"/>
  <c r="AH163" i="12"/>
  <c r="AI163" i="12" s="1"/>
  <c r="AH164" i="12"/>
  <c r="AI164" i="12" s="1"/>
  <c r="AH165" i="12"/>
  <c r="AI165" i="12" s="1"/>
  <c r="AH166" i="12"/>
  <c r="AI166" i="12" s="1"/>
  <c r="AH167" i="12"/>
  <c r="AI167" i="12" s="1"/>
  <c r="AH168" i="12"/>
  <c r="AI168" i="12" s="1"/>
  <c r="AH169" i="12"/>
  <c r="AI169" i="12" s="1"/>
  <c r="AH170" i="12"/>
  <c r="AI170" i="12" s="1"/>
  <c r="AH171" i="12"/>
  <c r="AI171" i="12" s="1"/>
  <c r="AH172" i="12"/>
  <c r="AI172" i="12" s="1"/>
  <c r="AH173" i="12"/>
  <c r="AI173" i="12" s="1"/>
  <c r="AH174" i="12"/>
  <c r="AI174" i="12" s="1"/>
  <c r="AH175" i="12"/>
  <c r="AI175" i="12" s="1"/>
  <c r="AH176" i="12"/>
  <c r="AI176" i="12" s="1"/>
  <c r="AH177" i="12"/>
  <c r="AI177" i="12" s="1"/>
  <c r="AH178" i="12"/>
  <c r="AI178" i="12" s="1"/>
  <c r="AH179" i="12"/>
  <c r="AI179" i="12" s="1"/>
  <c r="AH180" i="12"/>
  <c r="AI180" i="12" s="1"/>
  <c r="AH181" i="12"/>
  <c r="AI181" i="12" s="1"/>
  <c r="AH182" i="12"/>
  <c r="AI182" i="12" s="1"/>
  <c r="AH183" i="12"/>
  <c r="AI183" i="12" s="1"/>
  <c r="AH184" i="12"/>
  <c r="AI184" i="12" s="1"/>
  <c r="AH185" i="12"/>
  <c r="AI185" i="12" s="1"/>
  <c r="AH186" i="12"/>
  <c r="AI186" i="12" s="1"/>
  <c r="AH187" i="12"/>
  <c r="AI187" i="12" s="1"/>
  <c r="AH188" i="12"/>
  <c r="AI188" i="12" s="1"/>
  <c r="AH189" i="12"/>
  <c r="AI189" i="12" s="1"/>
  <c r="AH190" i="12"/>
  <c r="AI190" i="12" s="1"/>
  <c r="AH191" i="12"/>
  <c r="AI191" i="12" s="1"/>
  <c r="AH192" i="12"/>
  <c r="AI192" i="12" s="1"/>
  <c r="AH193" i="12"/>
  <c r="AI193" i="12" s="1"/>
  <c r="AH194" i="12"/>
  <c r="AI194" i="12" s="1"/>
  <c r="AH195" i="12"/>
  <c r="AI195" i="12" s="1"/>
  <c r="AH196" i="12"/>
  <c r="AI196" i="12" s="1"/>
  <c r="AH197" i="12"/>
  <c r="AI197" i="12" s="1"/>
  <c r="AH198" i="12"/>
  <c r="AI198" i="12" s="1"/>
  <c r="AH199" i="12"/>
  <c r="AI199" i="12" s="1"/>
  <c r="AH200" i="12"/>
  <c r="AI200" i="12" s="1"/>
  <c r="AH201" i="12"/>
  <c r="AI201" i="12" s="1"/>
  <c r="AH202" i="12"/>
  <c r="AI202" i="12" s="1"/>
  <c r="AH203" i="12"/>
  <c r="AI203" i="12" s="1"/>
  <c r="AH204" i="12"/>
  <c r="AI204" i="12" s="1"/>
  <c r="AH205" i="12"/>
  <c r="AI205" i="12" s="1"/>
  <c r="AH206" i="12"/>
  <c r="AI206" i="12" s="1"/>
  <c r="AH207" i="12"/>
  <c r="AI207" i="12" s="1"/>
  <c r="AH208" i="12"/>
  <c r="AI208" i="12" s="1"/>
  <c r="AH209" i="12"/>
  <c r="AI209" i="12" s="1"/>
  <c r="AH210" i="12"/>
  <c r="AI210" i="12" s="1"/>
  <c r="AH211" i="12"/>
  <c r="AI211" i="12" s="1"/>
  <c r="AH212" i="12"/>
  <c r="AI212" i="12" s="1"/>
  <c r="AH213" i="12"/>
  <c r="AI213" i="12" s="1"/>
  <c r="AH214" i="12"/>
  <c r="AI214" i="12" s="1"/>
  <c r="AH215" i="12"/>
  <c r="AI215" i="12" s="1"/>
  <c r="AH216" i="12"/>
  <c r="AI216" i="12" s="1"/>
  <c r="AH217" i="12"/>
  <c r="AI217" i="12" s="1"/>
  <c r="AH218" i="12"/>
  <c r="AI218" i="12" s="1"/>
  <c r="AH219" i="12"/>
  <c r="AI219" i="12" s="1"/>
  <c r="AH220" i="12"/>
  <c r="AI220" i="12" s="1"/>
  <c r="AH221" i="12"/>
  <c r="AI221" i="12" s="1"/>
  <c r="AH222" i="12"/>
  <c r="AI222" i="12" s="1"/>
  <c r="AH223" i="12"/>
  <c r="AI223" i="12" s="1"/>
  <c r="AH224" i="12"/>
  <c r="AI224" i="12" s="1"/>
  <c r="AH225" i="12"/>
  <c r="AI225" i="12" s="1"/>
  <c r="AH226" i="12"/>
  <c r="AI226" i="12" s="1"/>
  <c r="AH227" i="12"/>
  <c r="AI227" i="12" s="1"/>
  <c r="AH228" i="12"/>
  <c r="AI228" i="12" s="1"/>
  <c r="AH229" i="12"/>
  <c r="AI229" i="12" s="1"/>
  <c r="AH230" i="12"/>
  <c r="AI230" i="12" s="1"/>
  <c r="AH231" i="12"/>
  <c r="AI231" i="12" s="1"/>
  <c r="AH232" i="12"/>
  <c r="AI232" i="12" s="1"/>
  <c r="AH233" i="12"/>
  <c r="AI233" i="12" s="1"/>
  <c r="AH234" i="12"/>
  <c r="AI234" i="12" s="1"/>
  <c r="AH235" i="12"/>
  <c r="AI235" i="12" s="1"/>
  <c r="AH236" i="12"/>
  <c r="AI236" i="12" s="1"/>
  <c r="AH237" i="12"/>
  <c r="AI237" i="12" s="1"/>
  <c r="AH238" i="12"/>
  <c r="AI238" i="12" s="1"/>
  <c r="AH239" i="12"/>
  <c r="AI239" i="12" s="1"/>
  <c r="AH240" i="12"/>
  <c r="AI240" i="12" s="1"/>
  <c r="AH241" i="12"/>
  <c r="AI241" i="12" s="1"/>
  <c r="AH242" i="12"/>
  <c r="AI242" i="12" s="1"/>
  <c r="AH243" i="12"/>
  <c r="AI243" i="12" s="1"/>
  <c r="AH244" i="12"/>
  <c r="AI244" i="12" s="1"/>
  <c r="AH245" i="12"/>
  <c r="AI245" i="12" s="1"/>
  <c r="AH246" i="12"/>
  <c r="AI246" i="12" s="1"/>
  <c r="AH247" i="12"/>
  <c r="AI247" i="12" s="1"/>
  <c r="AH248" i="12"/>
  <c r="AI248" i="12" s="1"/>
  <c r="AH249" i="12"/>
  <c r="AI249" i="12" s="1"/>
  <c r="AH250" i="12"/>
  <c r="AI250" i="12" s="1"/>
  <c r="AH251" i="12"/>
  <c r="AI251" i="12" s="1"/>
  <c r="AH252" i="12"/>
  <c r="AI252" i="12" s="1"/>
  <c r="AH253" i="12"/>
  <c r="AI253" i="12" s="1"/>
  <c r="AH254" i="12"/>
  <c r="AI254" i="12" s="1"/>
  <c r="AH255" i="12"/>
  <c r="AI255" i="12" s="1"/>
  <c r="AH256" i="12"/>
  <c r="AI256" i="12" s="1"/>
  <c r="AH257" i="12"/>
  <c r="AI257" i="12" s="1"/>
  <c r="AH258" i="12"/>
  <c r="AI258" i="12" s="1"/>
  <c r="AH259" i="12"/>
  <c r="AI259" i="12" s="1"/>
  <c r="AH260" i="12"/>
  <c r="AI260" i="12" s="1"/>
  <c r="AH261" i="12"/>
  <c r="AI261" i="12" s="1"/>
  <c r="AH262" i="12"/>
  <c r="AI262" i="12" s="1"/>
  <c r="AH263" i="12"/>
  <c r="AI263" i="12" s="1"/>
  <c r="AH264" i="12"/>
  <c r="AI264" i="12" s="1"/>
  <c r="AH265" i="12"/>
  <c r="AI265" i="12" s="1"/>
  <c r="AH266" i="12"/>
  <c r="AI266" i="12" s="1"/>
  <c r="AH267" i="12"/>
  <c r="AI267" i="12" s="1"/>
  <c r="AH268" i="12"/>
  <c r="AI268" i="12" s="1"/>
  <c r="AH269" i="12"/>
  <c r="AI269" i="12" s="1"/>
  <c r="AH270" i="12"/>
  <c r="AI270" i="12" s="1"/>
  <c r="AH271" i="12"/>
  <c r="AI271" i="12" s="1"/>
  <c r="AH272" i="12"/>
  <c r="AI272" i="12" s="1"/>
  <c r="AH273" i="12"/>
  <c r="AI273" i="12" s="1"/>
  <c r="AH274" i="12"/>
  <c r="AI274" i="12" s="1"/>
  <c r="AH275" i="12"/>
  <c r="AI275" i="12" s="1"/>
  <c r="AH276" i="12"/>
  <c r="AI276" i="12" s="1"/>
  <c r="AH277" i="12"/>
  <c r="AI277" i="12" s="1"/>
  <c r="AH278" i="12"/>
  <c r="AI278" i="12" s="1"/>
  <c r="AH279" i="12"/>
  <c r="AI279" i="12" s="1"/>
  <c r="AH280" i="12"/>
  <c r="AI280" i="12" s="1"/>
  <c r="AH281" i="12"/>
  <c r="AI281" i="12" s="1"/>
  <c r="AH282" i="12"/>
  <c r="AI282" i="12" s="1"/>
  <c r="AH283" i="12"/>
  <c r="AI283" i="12" s="1"/>
  <c r="AH284" i="12"/>
  <c r="AI284" i="12" s="1"/>
  <c r="AH285" i="12"/>
  <c r="AI285" i="12" s="1"/>
  <c r="AH286" i="12"/>
  <c r="AI286" i="12" s="1"/>
  <c r="AH287" i="12"/>
  <c r="AI287" i="12" s="1"/>
  <c r="AH288" i="12"/>
  <c r="AI288" i="12" s="1"/>
  <c r="AH289" i="12"/>
  <c r="AI289" i="12" s="1"/>
  <c r="AH290" i="12"/>
  <c r="AI290" i="12" s="1"/>
  <c r="AH291" i="12"/>
  <c r="AI291" i="12" s="1"/>
  <c r="AH292" i="12"/>
  <c r="AI292" i="12" s="1"/>
  <c r="AH293" i="12"/>
  <c r="AI293" i="12" s="1"/>
  <c r="AH294" i="12"/>
  <c r="AI294" i="12" s="1"/>
  <c r="AH295" i="12"/>
  <c r="AI295" i="12" s="1"/>
  <c r="AH296" i="12"/>
  <c r="AI296" i="12" s="1"/>
  <c r="AH297" i="12"/>
  <c r="AI297" i="12" s="1"/>
  <c r="AH298" i="12"/>
  <c r="AI298" i="12" s="1"/>
  <c r="AH299" i="12"/>
  <c r="AI299" i="12" s="1"/>
  <c r="AH300" i="12"/>
  <c r="AI300" i="12" s="1"/>
  <c r="AH301" i="12"/>
  <c r="AI301" i="12" s="1"/>
  <c r="AH5" i="12"/>
  <c r="AI5" i="12" s="1"/>
  <c r="G3" i="12"/>
  <c r="G4" i="12"/>
  <c r="G5" i="12"/>
  <c r="G6" i="12"/>
  <c r="G7" i="12"/>
  <c r="G8" i="12"/>
  <c r="G9" i="12"/>
  <c r="G10" i="12"/>
  <c r="G11"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G101" i="12"/>
  <c r="G102" i="12"/>
  <c r="G103" i="12"/>
  <c r="G104" i="12"/>
  <c r="G105" i="12"/>
  <c r="G106" i="12"/>
  <c r="G107" i="12"/>
  <c r="G108" i="12"/>
  <c r="G109" i="12"/>
  <c r="G110" i="12"/>
  <c r="G111" i="12"/>
  <c r="G112" i="12"/>
  <c r="G113" i="12"/>
  <c r="G114" i="12"/>
  <c r="G115" i="12"/>
  <c r="G116" i="12"/>
  <c r="G117" i="12"/>
  <c r="G118" i="12"/>
  <c r="G119" i="12"/>
  <c r="G120" i="12"/>
  <c r="G121" i="12"/>
  <c r="G122" i="12"/>
  <c r="G123" i="12"/>
  <c r="G124" i="12"/>
  <c r="G125" i="12"/>
  <c r="G126" i="12"/>
  <c r="G127" i="12"/>
  <c r="G128" i="12"/>
  <c r="G129" i="12"/>
  <c r="G130" i="12"/>
  <c r="G131" i="12"/>
  <c r="G132" i="12"/>
  <c r="G133" i="12"/>
  <c r="G134" i="12"/>
  <c r="G135" i="12"/>
  <c r="G136" i="12"/>
  <c r="G137" i="12"/>
  <c r="G138" i="12"/>
  <c r="G139" i="12"/>
  <c r="G140" i="12"/>
  <c r="G141" i="12"/>
  <c r="G142" i="12"/>
  <c r="G143" i="12"/>
  <c r="G144" i="12"/>
  <c r="G145" i="12"/>
  <c r="G146" i="12"/>
  <c r="G147" i="12"/>
  <c r="G148" i="12"/>
  <c r="G149" i="12"/>
  <c r="G150" i="12"/>
  <c r="G151" i="12"/>
  <c r="G152" i="12"/>
  <c r="G153" i="12"/>
  <c r="G154" i="12"/>
  <c r="G155" i="12"/>
  <c r="G156" i="12"/>
  <c r="G157" i="12"/>
  <c r="G158" i="12"/>
  <c r="G159" i="12"/>
  <c r="G160" i="12"/>
  <c r="G161" i="12"/>
  <c r="G162" i="12"/>
  <c r="G163" i="12"/>
  <c r="G164" i="12"/>
  <c r="G165" i="12"/>
  <c r="G166" i="12"/>
  <c r="G167" i="12"/>
  <c r="G168" i="12"/>
  <c r="G169" i="12"/>
  <c r="G170" i="12"/>
  <c r="G171" i="12"/>
  <c r="G172" i="12"/>
  <c r="G173" i="12"/>
  <c r="G174" i="12"/>
  <c r="G175" i="12"/>
  <c r="G176" i="12"/>
  <c r="G177" i="12"/>
  <c r="G178" i="12"/>
  <c r="G179" i="12"/>
  <c r="G180" i="12"/>
  <c r="G181" i="12"/>
  <c r="G182" i="12"/>
  <c r="G183" i="12"/>
  <c r="G184" i="12"/>
  <c r="G185" i="12"/>
  <c r="G186" i="12"/>
  <c r="G187" i="12"/>
  <c r="G188" i="12"/>
  <c r="G189" i="12"/>
  <c r="G190" i="12"/>
  <c r="G191" i="12"/>
  <c r="G192" i="12"/>
  <c r="G193" i="12"/>
  <c r="G194" i="12"/>
  <c r="G195" i="12"/>
  <c r="G196" i="12"/>
  <c r="G197" i="12"/>
  <c r="G198" i="12"/>
  <c r="G199" i="12"/>
  <c r="G200" i="12"/>
  <c r="G201" i="12"/>
  <c r="G202" i="12"/>
  <c r="G203" i="12"/>
  <c r="G204" i="12"/>
  <c r="G205" i="12"/>
  <c r="G206" i="12"/>
  <c r="G207" i="12"/>
  <c r="G208" i="12"/>
  <c r="G209" i="12"/>
  <c r="G210" i="12"/>
  <c r="G211" i="12"/>
  <c r="G212" i="12"/>
  <c r="G213" i="12"/>
  <c r="G214" i="12"/>
  <c r="G215" i="12"/>
  <c r="G216" i="12"/>
  <c r="G217" i="12"/>
  <c r="G218" i="12"/>
  <c r="G219" i="12"/>
  <c r="G220" i="12"/>
  <c r="G221" i="12"/>
  <c r="G222" i="12"/>
  <c r="G223" i="12"/>
  <c r="G224" i="12"/>
  <c r="G225" i="12"/>
  <c r="G226" i="12"/>
  <c r="G227" i="12"/>
  <c r="G228" i="12"/>
  <c r="G229" i="12"/>
  <c r="G230" i="12"/>
  <c r="G231" i="12"/>
  <c r="G232" i="12"/>
  <c r="G233" i="12"/>
  <c r="G234" i="12"/>
  <c r="G235" i="12"/>
  <c r="G236" i="12"/>
  <c r="G237" i="12"/>
  <c r="G238" i="12"/>
  <c r="G239" i="12"/>
  <c r="G240" i="12"/>
  <c r="G241" i="12"/>
  <c r="G242" i="12"/>
  <c r="G243" i="12"/>
  <c r="G244" i="12"/>
  <c r="G245" i="12"/>
  <c r="G246" i="12"/>
  <c r="G247" i="12"/>
  <c r="G248" i="12"/>
  <c r="G249" i="12"/>
  <c r="G250" i="12"/>
  <c r="G251" i="12"/>
  <c r="G252" i="12"/>
  <c r="G253" i="12"/>
  <c r="G254" i="12"/>
  <c r="G255" i="12"/>
  <c r="G256" i="12"/>
  <c r="G257" i="12"/>
  <c r="G258" i="12"/>
  <c r="G259" i="12"/>
  <c r="G260" i="12"/>
  <c r="G261" i="12"/>
  <c r="G262" i="12"/>
  <c r="G263" i="12"/>
  <c r="G264" i="12"/>
  <c r="G265" i="12"/>
  <c r="G266" i="12"/>
  <c r="G267" i="12"/>
  <c r="G268" i="12"/>
  <c r="G269" i="12"/>
  <c r="G270" i="12"/>
  <c r="G271" i="12"/>
  <c r="G272" i="12"/>
  <c r="G273" i="12"/>
  <c r="G274" i="12"/>
  <c r="G275" i="12"/>
  <c r="G276" i="12"/>
  <c r="G277" i="12"/>
  <c r="G278" i="12"/>
  <c r="G279" i="12"/>
  <c r="G280" i="12"/>
  <c r="G281" i="12"/>
  <c r="G282" i="12"/>
  <c r="G283" i="12"/>
  <c r="G284" i="12"/>
  <c r="G285" i="12"/>
  <c r="G286" i="12"/>
  <c r="G287" i="12"/>
  <c r="G288" i="12"/>
  <c r="G289" i="12"/>
  <c r="G290" i="12"/>
  <c r="G291" i="12"/>
  <c r="G292" i="12"/>
  <c r="G293" i="12"/>
  <c r="G2" i="12"/>
  <c r="F3" i="12"/>
  <c r="F4" i="12"/>
  <c r="F5" i="12"/>
  <c r="F6" i="12"/>
  <c r="F7" i="12"/>
  <c r="F8" i="12"/>
  <c r="F9" i="12"/>
  <c r="F10" i="12"/>
  <c r="F11"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 i="12"/>
  <c r="E3" i="12"/>
  <c r="E4" i="12"/>
  <c r="E5" i="12"/>
  <c r="E6" i="12"/>
  <c r="E7" i="12"/>
  <c r="E8" i="12"/>
  <c r="E9" i="12"/>
  <c r="E10" i="12"/>
  <c r="E11"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 i="12"/>
  <c r="AF6" i="12"/>
  <c r="A3" i="12" s="1"/>
  <c r="AF7" i="12"/>
  <c r="A4" i="12" s="1"/>
  <c r="AF8" i="12"/>
  <c r="A5" i="12" s="1"/>
  <c r="AF9" i="12"/>
  <c r="AF10" i="12"/>
  <c r="A7" i="12" s="1"/>
  <c r="AF11" i="12"/>
  <c r="A8" i="12" s="1"/>
  <c r="AF12" i="12"/>
  <c r="A9" i="12" s="1"/>
  <c r="AF13" i="12"/>
  <c r="A10" i="12" s="1"/>
  <c r="AF14" i="12"/>
  <c r="A11" i="12" s="1"/>
  <c r="AF15" i="12"/>
  <c r="A12" i="12" s="1"/>
  <c r="AF16" i="12"/>
  <c r="A13" i="12" s="1"/>
  <c r="AF17" i="12"/>
  <c r="A14" i="12" s="1"/>
  <c r="AF18" i="12"/>
  <c r="A15" i="12" s="1"/>
  <c r="AF19" i="12"/>
  <c r="A16" i="12" s="1"/>
  <c r="AF20" i="12"/>
  <c r="A17" i="12" s="1"/>
  <c r="AF21" i="12"/>
  <c r="A18" i="12" s="1"/>
  <c r="AF22" i="12"/>
  <c r="A19" i="12" s="1"/>
  <c r="AF23" i="12"/>
  <c r="A20" i="12" s="1"/>
  <c r="AF24" i="12"/>
  <c r="A21" i="12" s="1"/>
  <c r="AF25" i="12"/>
  <c r="AF26" i="12"/>
  <c r="A23" i="12" s="1"/>
  <c r="AF27" i="12"/>
  <c r="A24" i="12" s="1"/>
  <c r="AF28" i="12"/>
  <c r="A25" i="12" s="1"/>
  <c r="AF29" i="12"/>
  <c r="A26" i="12" s="1"/>
  <c r="AF30" i="12"/>
  <c r="A27" i="12" s="1"/>
  <c r="AF31" i="12"/>
  <c r="A28" i="12" s="1"/>
  <c r="AF32" i="12"/>
  <c r="A29" i="12" s="1"/>
  <c r="AF33" i="12"/>
  <c r="AF34" i="12"/>
  <c r="A31" i="12" s="1"/>
  <c r="AF35" i="12"/>
  <c r="A32" i="12" s="1"/>
  <c r="AF36" i="12"/>
  <c r="A33" i="12" s="1"/>
  <c r="AF37" i="12"/>
  <c r="A34" i="12" s="1"/>
  <c r="AF38" i="12"/>
  <c r="A35" i="12" s="1"/>
  <c r="AF39" i="12"/>
  <c r="A36" i="12" s="1"/>
  <c r="AF40" i="12"/>
  <c r="A37" i="12" s="1"/>
  <c r="AF41" i="12"/>
  <c r="AF42" i="12"/>
  <c r="A39" i="12" s="1"/>
  <c r="AF43" i="12"/>
  <c r="A40" i="12" s="1"/>
  <c r="AF44" i="12"/>
  <c r="A41" i="12" s="1"/>
  <c r="AF45" i="12"/>
  <c r="A42" i="12" s="1"/>
  <c r="AF46" i="12"/>
  <c r="A43" i="12" s="1"/>
  <c r="AF47" i="12"/>
  <c r="A44" i="12" s="1"/>
  <c r="AF48" i="12"/>
  <c r="A45" i="12" s="1"/>
  <c r="AF49" i="12"/>
  <c r="AF50" i="12"/>
  <c r="A47" i="12" s="1"/>
  <c r="AF51" i="12"/>
  <c r="A48" i="12" s="1"/>
  <c r="AF52" i="12"/>
  <c r="A49" i="12" s="1"/>
  <c r="AF53" i="12"/>
  <c r="A50" i="12" s="1"/>
  <c r="AF54" i="12"/>
  <c r="A51" i="12" s="1"/>
  <c r="AF55" i="12"/>
  <c r="A52" i="12" s="1"/>
  <c r="AF56" i="12"/>
  <c r="A53" i="12" s="1"/>
  <c r="AF57" i="12"/>
  <c r="AF58" i="12"/>
  <c r="A55" i="12" s="1"/>
  <c r="AF59" i="12"/>
  <c r="AF60" i="12"/>
  <c r="A57" i="12" s="1"/>
  <c r="AF61" i="12"/>
  <c r="AF62" i="12"/>
  <c r="A59" i="12" s="1"/>
  <c r="AF63" i="12"/>
  <c r="A60" i="12" s="1"/>
  <c r="AF64" i="12"/>
  <c r="A61" i="12" s="1"/>
  <c r="AF65" i="12"/>
  <c r="AF66" i="12"/>
  <c r="A63" i="12" s="1"/>
  <c r="AF67" i="12"/>
  <c r="A64" i="12" s="1"/>
  <c r="AF68" i="12"/>
  <c r="A65" i="12" s="1"/>
  <c r="AF69" i="12"/>
  <c r="AF70" i="12"/>
  <c r="A67" i="12" s="1"/>
  <c r="AF71" i="12"/>
  <c r="A68" i="12" s="1"/>
  <c r="AF72" i="12"/>
  <c r="A69" i="12" s="1"/>
  <c r="AF73" i="12"/>
  <c r="AF74" i="12"/>
  <c r="A71" i="12" s="1"/>
  <c r="AF75" i="12"/>
  <c r="AF76" i="12"/>
  <c r="A73" i="12" s="1"/>
  <c r="AF77" i="12"/>
  <c r="AF78" i="12"/>
  <c r="A75" i="12" s="1"/>
  <c r="AF79" i="12"/>
  <c r="A76" i="12" s="1"/>
  <c r="AF80" i="12"/>
  <c r="AF81" i="12"/>
  <c r="AF82" i="12"/>
  <c r="A79" i="12" s="1"/>
  <c r="AF83" i="12"/>
  <c r="A80" i="12" s="1"/>
  <c r="AF84" i="12"/>
  <c r="A81" i="12" s="1"/>
  <c r="AF85" i="12"/>
  <c r="AF86" i="12"/>
  <c r="A83" i="12" s="1"/>
  <c r="AF87" i="12"/>
  <c r="A84" i="12" s="1"/>
  <c r="AF88" i="12"/>
  <c r="AF89" i="12"/>
  <c r="AF90" i="12"/>
  <c r="A87" i="12" s="1"/>
  <c r="AF91" i="12"/>
  <c r="A88" i="12" s="1"/>
  <c r="AF92" i="12"/>
  <c r="A89" i="12" s="1"/>
  <c r="AF93" i="12"/>
  <c r="AF94" i="12"/>
  <c r="A91" i="12" s="1"/>
  <c r="AF95" i="12"/>
  <c r="A92" i="12" s="1"/>
  <c r="AF96" i="12"/>
  <c r="A93" i="12" s="1"/>
  <c r="AF97" i="12"/>
  <c r="AF98" i="12"/>
  <c r="A95" i="12" s="1"/>
  <c r="AF99" i="12"/>
  <c r="A96" i="12" s="1"/>
  <c r="AF100" i="12"/>
  <c r="A97" i="12" s="1"/>
  <c r="AF101" i="12"/>
  <c r="AF102" i="12"/>
  <c r="A99" i="12" s="1"/>
  <c r="AF103" i="12"/>
  <c r="A100" i="12" s="1"/>
  <c r="AF104" i="12"/>
  <c r="A101" i="12" s="1"/>
  <c r="AF105" i="12"/>
  <c r="AF106" i="12"/>
  <c r="A103" i="12" s="1"/>
  <c r="AF107" i="12"/>
  <c r="AF108" i="12"/>
  <c r="AF109" i="12"/>
  <c r="AF110" i="12"/>
  <c r="A107" i="12" s="1"/>
  <c r="AF111" i="12"/>
  <c r="A108" i="12" s="1"/>
  <c r="AF112" i="12"/>
  <c r="A109" i="12" s="1"/>
  <c r="AF113" i="12"/>
  <c r="AF114" i="12"/>
  <c r="A111" i="12" s="1"/>
  <c r="AF115" i="12"/>
  <c r="A112" i="12" s="1"/>
  <c r="AF116" i="12"/>
  <c r="AF117" i="12"/>
  <c r="AF118" i="12"/>
  <c r="A115" i="12" s="1"/>
  <c r="AF119" i="12"/>
  <c r="A116" i="12" s="1"/>
  <c r="AF120" i="12"/>
  <c r="A117" i="12" s="1"/>
  <c r="AF121" i="12"/>
  <c r="AF122" i="12"/>
  <c r="A119" i="12" s="1"/>
  <c r="AF123" i="12"/>
  <c r="AF124" i="12"/>
  <c r="A121" i="12" s="1"/>
  <c r="AF125" i="12"/>
  <c r="AF126" i="12"/>
  <c r="A123" i="12" s="1"/>
  <c r="AF127" i="12"/>
  <c r="A124" i="12" s="1"/>
  <c r="AF128" i="12"/>
  <c r="A125" i="12" s="1"/>
  <c r="AF129" i="12"/>
  <c r="AF130" i="12"/>
  <c r="A127" i="12" s="1"/>
  <c r="AF131" i="12"/>
  <c r="A128" i="12" s="1"/>
  <c r="AF132" i="12"/>
  <c r="A129" i="12" s="1"/>
  <c r="AF133" i="12"/>
  <c r="AF134" i="12"/>
  <c r="A131" i="12" s="1"/>
  <c r="AF135" i="12"/>
  <c r="A132" i="12" s="1"/>
  <c r="AF136" i="12"/>
  <c r="A133" i="12" s="1"/>
  <c r="AF137" i="12"/>
  <c r="AF138" i="12"/>
  <c r="A135" i="12" s="1"/>
  <c r="AF139" i="12"/>
  <c r="AF140" i="12"/>
  <c r="A137" i="12" s="1"/>
  <c r="AF141" i="12"/>
  <c r="AF142" i="12"/>
  <c r="A139" i="12" s="1"/>
  <c r="AF143" i="12"/>
  <c r="A140" i="12" s="1"/>
  <c r="AF144" i="12"/>
  <c r="AF145" i="12"/>
  <c r="AF146" i="12"/>
  <c r="A143" i="12" s="1"/>
  <c r="AF147" i="12"/>
  <c r="A144" i="12" s="1"/>
  <c r="AF148" i="12"/>
  <c r="A145" i="12" s="1"/>
  <c r="AF149" i="12"/>
  <c r="AF150" i="12"/>
  <c r="A147" i="12" s="1"/>
  <c r="AF151" i="12"/>
  <c r="A148" i="12" s="1"/>
  <c r="AF152" i="12"/>
  <c r="AF153" i="12"/>
  <c r="AF154" i="12"/>
  <c r="A151" i="12" s="1"/>
  <c r="AF155" i="12"/>
  <c r="A152" i="12" s="1"/>
  <c r="AF156" i="12"/>
  <c r="A153" i="12" s="1"/>
  <c r="AF157" i="12"/>
  <c r="AF158" i="12"/>
  <c r="A155" i="12" s="1"/>
  <c r="AF159" i="12"/>
  <c r="A156" i="12" s="1"/>
  <c r="AF160" i="12"/>
  <c r="A157" i="12" s="1"/>
  <c r="AF161" i="12"/>
  <c r="AF162" i="12"/>
  <c r="A159" i="12" s="1"/>
  <c r="AF163" i="12"/>
  <c r="A160" i="12" s="1"/>
  <c r="AF164" i="12"/>
  <c r="A161" i="12" s="1"/>
  <c r="AF165" i="12"/>
  <c r="AF166" i="12"/>
  <c r="A163" i="12" s="1"/>
  <c r="AF167" i="12"/>
  <c r="A164" i="12" s="1"/>
  <c r="AF168" i="12"/>
  <c r="A165" i="12" s="1"/>
  <c r="AF169" i="12"/>
  <c r="AF170" i="12"/>
  <c r="A167" i="12" s="1"/>
  <c r="AF171" i="12"/>
  <c r="AF172" i="12"/>
  <c r="AF173" i="12"/>
  <c r="AF174" i="12"/>
  <c r="A171" i="12" s="1"/>
  <c r="AF175" i="12"/>
  <c r="A172" i="12" s="1"/>
  <c r="AF176" i="12"/>
  <c r="A173" i="12" s="1"/>
  <c r="AF177" i="12"/>
  <c r="AF178" i="12"/>
  <c r="A175" i="12" s="1"/>
  <c r="AF179" i="12"/>
  <c r="A176" i="12" s="1"/>
  <c r="AF180" i="12"/>
  <c r="AF181" i="12"/>
  <c r="AF182" i="12"/>
  <c r="A179" i="12" s="1"/>
  <c r="AF183" i="12"/>
  <c r="A180" i="12" s="1"/>
  <c r="AF184" i="12"/>
  <c r="A181" i="12" s="1"/>
  <c r="AF185" i="12"/>
  <c r="AF186" i="12"/>
  <c r="A183" i="12" s="1"/>
  <c r="AF187" i="12"/>
  <c r="AF188" i="12"/>
  <c r="A185" i="12" s="1"/>
  <c r="AF189" i="12"/>
  <c r="AF190" i="12"/>
  <c r="A187" i="12" s="1"/>
  <c r="AF191" i="12"/>
  <c r="A188" i="12" s="1"/>
  <c r="AF192" i="12"/>
  <c r="A189" i="12" s="1"/>
  <c r="AF193" i="12"/>
  <c r="AF194" i="12"/>
  <c r="A191" i="12" s="1"/>
  <c r="AF195" i="12"/>
  <c r="A192" i="12" s="1"/>
  <c r="AF196" i="12"/>
  <c r="A193" i="12" s="1"/>
  <c r="AF197" i="12"/>
  <c r="AF198" i="12"/>
  <c r="A195" i="12" s="1"/>
  <c r="AF199" i="12"/>
  <c r="A196" i="12" s="1"/>
  <c r="AF200" i="12"/>
  <c r="A197" i="12" s="1"/>
  <c r="AF201" i="12"/>
  <c r="AF202" i="12"/>
  <c r="A199" i="12" s="1"/>
  <c r="AF203" i="12"/>
  <c r="AF204" i="12"/>
  <c r="A201" i="12" s="1"/>
  <c r="AF205" i="12"/>
  <c r="AF206" i="12"/>
  <c r="A203" i="12" s="1"/>
  <c r="AF207" i="12"/>
  <c r="A204" i="12" s="1"/>
  <c r="AF208" i="12"/>
  <c r="AF209" i="12"/>
  <c r="AF210" i="12"/>
  <c r="A207" i="12" s="1"/>
  <c r="AF211" i="12"/>
  <c r="A208" i="12" s="1"/>
  <c r="AF212" i="12"/>
  <c r="A209" i="12" s="1"/>
  <c r="AF213" i="12"/>
  <c r="AF214" i="12"/>
  <c r="A211" i="12" s="1"/>
  <c r="AF215" i="12"/>
  <c r="A212" i="12" s="1"/>
  <c r="AF216" i="12"/>
  <c r="AF217" i="12"/>
  <c r="AF218" i="12"/>
  <c r="A215" i="12" s="1"/>
  <c r="AF219" i="12"/>
  <c r="A216" i="12" s="1"/>
  <c r="AF220" i="12"/>
  <c r="A217" i="12" s="1"/>
  <c r="AF221" i="12"/>
  <c r="AF222" i="12"/>
  <c r="A219" i="12" s="1"/>
  <c r="AF223" i="12"/>
  <c r="A220" i="12" s="1"/>
  <c r="AF224" i="12"/>
  <c r="A221" i="12" s="1"/>
  <c r="AF225" i="12"/>
  <c r="AF226" i="12"/>
  <c r="A223" i="12" s="1"/>
  <c r="AF227" i="12"/>
  <c r="A224" i="12" s="1"/>
  <c r="AF228" i="12"/>
  <c r="A225" i="12" s="1"/>
  <c r="AF229" i="12"/>
  <c r="AF230" i="12"/>
  <c r="A227" i="12" s="1"/>
  <c r="AF231" i="12"/>
  <c r="A228" i="12" s="1"/>
  <c r="AF232" i="12"/>
  <c r="A229" i="12" s="1"/>
  <c r="AF233" i="12"/>
  <c r="AF234" i="12"/>
  <c r="A231" i="12" s="1"/>
  <c r="AF235" i="12"/>
  <c r="AF236" i="12"/>
  <c r="AF237" i="12"/>
  <c r="AF238" i="12"/>
  <c r="A235" i="12" s="1"/>
  <c r="AF239" i="12"/>
  <c r="A236" i="12" s="1"/>
  <c r="AF240" i="12"/>
  <c r="A237" i="12" s="1"/>
  <c r="AF241" i="12"/>
  <c r="AF242" i="12"/>
  <c r="A239" i="12" s="1"/>
  <c r="AF243" i="12"/>
  <c r="A240" i="12" s="1"/>
  <c r="AF244" i="12"/>
  <c r="AF245" i="12"/>
  <c r="AF246" i="12"/>
  <c r="A243" i="12" s="1"/>
  <c r="AF247" i="12"/>
  <c r="A244" i="12" s="1"/>
  <c r="AF248" i="12"/>
  <c r="A245" i="12" s="1"/>
  <c r="AF249" i="12"/>
  <c r="AF250" i="12"/>
  <c r="A247" i="12" s="1"/>
  <c r="AF251" i="12"/>
  <c r="AF252" i="12"/>
  <c r="A249" i="12" s="1"/>
  <c r="AF253" i="12"/>
  <c r="AF254" i="12"/>
  <c r="A251" i="12" s="1"/>
  <c r="AF255" i="12"/>
  <c r="A252" i="12" s="1"/>
  <c r="AF256" i="12"/>
  <c r="A253" i="12" s="1"/>
  <c r="AF257" i="12"/>
  <c r="AF258" i="12"/>
  <c r="A255" i="12" s="1"/>
  <c r="AF259" i="12"/>
  <c r="A256" i="12" s="1"/>
  <c r="AF260" i="12"/>
  <c r="A257" i="12" s="1"/>
  <c r="AF261" i="12"/>
  <c r="AF262" i="12"/>
  <c r="A259" i="12" s="1"/>
  <c r="AF263" i="12"/>
  <c r="A260" i="12" s="1"/>
  <c r="AF264" i="12"/>
  <c r="A261" i="12" s="1"/>
  <c r="AF265" i="12"/>
  <c r="AF266" i="12"/>
  <c r="A263" i="12" s="1"/>
  <c r="AF267" i="12"/>
  <c r="AF268" i="12"/>
  <c r="A265" i="12" s="1"/>
  <c r="AF269" i="12"/>
  <c r="AF270" i="12"/>
  <c r="A267" i="12" s="1"/>
  <c r="AF271" i="12"/>
  <c r="A268" i="12" s="1"/>
  <c r="AF272" i="12"/>
  <c r="AF273" i="12"/>
  <c r="AF274" i="12"/>
  <c r="A271" i="12" s="1"/>
  <c r="AF275" i="12"/>
  <c r="A272" i="12" s="1"/>
  <c r="AF276" i="12"/>
  <c r="A273" i="12" s="1"/>
  <c r="AF277" i="12"/>
  <c r="AF278" i="12"/>
  <c r="A275" i="12" s="1"/>
  <c r="AF279" i="12"/>
  <c r="A276" i="12" s="1"/>
  <c r="AF280" i="12"/>
  <c r="AF281" i="12"/>
  <c r="AF282" i="12"/>
  <c r="A279" i="12" s="1"/>
  <c r="AF283" i="12"/>
  <c r="A280" i="12" s="1"/>
  <c r="AF284" i="12"/>
  <c r="A281" i="12" s="1"/>
  <c r="AF285" i="12"/>
  <c r="AF286" i="12"/>
  <c r="A283" i="12" s="1"/>
  <c r="AF287" i="12"/>
  <c r="A284" i="12" s="1"/>
  <c r="AF288" i="12"/>
  <c r="A285" i="12" s="1"/>
  <c r="AF289" i="12"/>
  <c r="A286" i="12" s="1"/>
  <c r="AF290" i="12"/>
  <c r="A287" i="12" s="1"/>
  <c r="AF291" i="12"/>
  <c r="A288" i="12" s="1"/>
  <c r="AF292" i="12"/>
  <c r="A289" i="12" s="1"/>
  <c r="AF293" i="12"/>
  <c r="AF294" i="12"/>
  <c r="A291" i="12" s="1"/>
  <c r="AF295" i="12"/>
  <c r="A292" i="12" s="1"/>
  <c r="AF296" i="12"/>
  <c r="A293" i="12" s="1"/>
  <c r="AF297" i="12"/>
  <c r="AF298" i="12"/>
  <c r="AF299" i="12"/>
  <c r="AF5" i="12"/>
  <c r="A2" i="12" s="1"/>
  <c r="A6" i="12"/>
  <c r="A22" i="12"/>
  <c r="A30" i="12"/>
  <c r="A38" i="12"/>
  <c r="A46" i="12"/>
  <c r="A54" i="12"/>
  <c r="A56" i="12"/>
  <c r="A58" i="12"/>
  <c r="A62" i="12"/>
  <c r="A66" i="12"/>
  <c r="A70" i="12"/>
  <c r="A72" i="12"/>
  <c r="A74" i="12"/>
  <c r="A77" i="12"/>
  <c r="A78" i="12"/>
  <c r="A82" i="12"/>
  <c r="A85" i="12"/>
  <c r="A86" i="12"/>
  <c r="A90" i="12"/>
  <c r="A94" i="12"/>
  <c r="A98" i="12"/>
  <c r="A102" i="12"/>
  <c r="A104" i="12"/>
  <c r="A105" i="12"/>
  <c r="A106" i="12"/>
  <c r="A110" i="12"/>
  <c r="A113" i="12"/>
  <c r="A114" i="12"/>
  <c r="A118" i="12"/>
  <c r="A120" i="12"/>
  <c r="A122" i="12"/>
  <c r="A126" i="12"/>
  <c r="A130" i="12"/>
  <c r="A134" i="12"/>
  <c r="A136" i="12"/>
  <c r="A138" i="12"/>
  <c r="A141" i="12"/>
  <c r="A142" i="12"/>
  <c r="A146" i="12"/>
  <c r="A149" i="12"/>
  <c r="A150" i="12"/>
  <c r="A154" i="12"/>
  <c r="A158" i="12"/>
  <c r="A162" i="12"/>
  <c r="A166" i="12"/>
  <c r="A168" i="12"/>
  <c r="A169" i="12"/>
  <c r="A170" i="12"/>
  <c r="A174" i="12"/>
  <c r="A177" i="12"/>
  <c r="A178" i="12"/>
  <c r="A182" i="12"/>
  <c r="A184" i="12"/>
  <c r="A186" i="12"/>
  <c r="A190" i="12"/>
  <c r="A194" i="12"/>
  <c r="A198" i="12"/>
  <c r="A200" i="12"/>
  <c r="A202" i="12"/>
  <c r="A205" i="12"/>
  <c r="A206" i="12"/>
  <c r="A210" i="12"/>
  <c r="A213" i="12"/>
  <c r="A214" i="12"/>
  <c r="A218" i="12"/>
  <c r="A222" i="12"/>
  <c r="A226" i="12"/>
  <c r="A230" i="12"/>
  <c r="A232" i="12"/>
  <c r="A233" i="12"/>
  <c r="A234" i="12"/>
  <c r="A238" i="12"/>
  <c r="A241" i="12"/>
  <c r="A242" i="12"/>
  <c r="A246" i="12"/>
  <c r="A248" i="12"/>
  <c r="A250" i="12"/>
  <c r="A254" i="12"/>
  <c r="A258" i="12"/>
  <c r="A262" i="12"/>
  <c r="A264" i="12"/>
  <c r="A266" i="12"/>
  <c r="A269" i="12"/>
  <c r="A270" i="12"/>
  <c r="A274" i="12"/>
  <c r="A277" i="12"/>
  <c r="A278" i="12"/>
  <c r="A282" i="12"/>
  <c r="A290" i="12"/>
  <c r="C3" i="12" l="1"/>
  <c r="C4" i="12"/>
  <c r="C7" i="12"/>
  <c r="C8" i="12"/>
  <c r="C9" i="12"/>
  <c r="C11" i="12"/>
  <c r="C12" i="12"/>
  <c r="C13" i="12"/>
  <c r="C15" i="12"/>
  <c r="C16" i="12"/>
  <c r="C19" i="12"/>
  <c r="C20" i="12"/>
  <c r="C23" i="12"/>
  <c r="C24" i="12"/>
  <c r="C25" i="12"/>
  <c r="C27" i="12"/>
  <c r="C28" i="12"/>
  <c r="C29" i="12"/>
  <c r="C31" i="12"/>
  <c r="C32" i="12"/>
  <c r="C35" i="12"/>
  <c r="C36" i="12"/>
  <c r="C39" i="12"/>
  <c r="C40" i="12"/>
  <c r="C41" i="12"/>
  <c r="C43" i="12"/>
  <c r="C44" i="12"/>
  <c r="C45" i="12"/>
  <c r="C46" i="12"/>
  <c r="C47" i="12"/>
  <c r="C48" i="12"/>
  <c r="C51" i="12"/>
  <c r="C52" i="12"/>
  <c r="C55" i="12"/>
  <c r="C56" i="12"/>
  <c r="C57" i="12"/>
  <c r="C59" i="12"/>
  <c r="C60" i="12"/>
  <c r="C61" i="12"/>
  <c r="C63" i="12"/>
  <c r="C64" i="12"/>
  <c r="C67" i="12"/>
  <c r="C68" i="12"/>
  <c r="C71" i="12"/>
  <c r="C72" i="12"/>
  <c r="C73" i="12"/>
  <c r="C75" i="12"/>
  <c r="C76" i="12"/>
  <c r="C77" i="12"/>
  <c r="C79" i="12"/>
  <c r="C80" i="12"/>
  <c r="C83" i="12"/>
  <c r="C84" i="12"/>
  <c r="C87" i="12"/>
  <c r="C88" i="12"/>
  <c r="C89" i="12"/>
  <c r="C91" i="12"/>
  <c r="C92" i="12"/>
  <c r="C93" i="12"/>
  <c r="C95" i="12"/>
  <c r="C96" i="12"/>
  <c r="D97" i="12"/>
  <c r="C99" i="12"/>
  <c r="C100" i="12"/>
  <c r="C103" i="12"/>
  <c r="C104" i="12"/>
  <c r="C105" i="12"/>
  <c r="C107" i="12"/>
  <c r="C108" i="12"/>
  <c r="C109" i="12"/>
  <c r="C110" i="12"/>
  <c r="C111" i="12"/>
  <c r="C112" i="12"/>
  <c r="D113" i="12"/>
  <c r="C115" i="12"/>
  <c r="C116" i="12"/>
  <c r="C119" i="12"/>
  <c r="C120" i="12"/>
  <c r="C121" i="12"/>
  <c r="C123" i="12"/>
  <c r="C124" i="12"/>
  <c r="C125" i="12"/>
  <c r="C127" i="12"/>
  <c r="C128" i="12"/>
  <c r="C131" i="12"/>
  <c r="C132" i="12"/>
  <c r="C135" i="12"/>
  <c r="C136" i="12"/>
  <c r="C137" i="12"/>
  <c r="C139" i="12"/>
  <c r="C140" i="12"/>
  <c r="C141" i="12"/>
  <c r="C143" i="12"/>
  <c r="C144" i="12"/>
  <c r="C147" i="12"/>
  <c r="C148" i="12"/>
  <c r="C151" i="12"/>
  <c r="C152" i="12"/>
  <c r="C153" i="12"/>
  <c r="D154" i="12"/>
  <c r="C155" i="12"/>
  <c r="C156" i="12"/>
  <c r="C157" i="12"/>
  <c r="C159" i="12"/>
  <c r="C160" i="12"/>
  <c r="C163" i="12"/>
  <c r="C164" i="12"/>
  <c r="D165" i="12"/>
  <c r="C167" i="12"/>
  <c r="C168" i="12"/>
  <c r="C169" i="12"/>
  <c r="C171" i="12"/>
  <c r="C172" i="12"/>
  <c r="C173" i="12"/>
  <c r="C174" i="12"/>
  <c r="C175" i="12"/>
  <c r="C176" i="12"/>
  <c r="D177" i="12"/>
  <c r="C179" i="12"/>
  <c r="C180" i="12"/>
  <c r="C183" i="12"/>
  <c r="C184" i="12"/>
  <c r="C185" i="12"/>
  <c r="C187" i="12"/>
  <c r="C188" i="12"/>
  <c r="C189" i="12"/>
  <c r="C191" i="12"/>
  <c r="C192" i="12"/>
  <c r="D194" i="12"/>
  <c r="C195" i="12"/>
  <c r="C196" i="12"/>
  <c r="D198" i="12"/>
  <c r="C199" i="12"/>
  <c r="C200" i="12"/>
  <c r="C201" i="12"/>
  <c r="D202" i="12"/>
  <c r="C203" i="12"/>
  <c r="C204" i="12"/>
  <c r="C205" i="12"/>
  <c r="D206" i="12"/>
  <c r="C207" i="12"/>
  <c r="C208" i="12"/>
  <c r="C211" i="12"/>
  <c r="C212" i="12"/>
  <c r="C215" i="12"/>
  <c r="C216" i="12"/>
  <c r="C217" i="12"/>
  <c r="C219" i="12"/>
  <c r="C220" i="12"/>
  <c r="C221" i="12"/>
  <c r="C223" i="12"/>
  <c r="C224" i="12"/>
  <c r="C227" i="12"/>
  <c r="C228" i="12"/>
  <c r="D229" i="12"/>
  <c r="C231" i="12"/>
  <c r="C232" i="12"/>
  <c r="C233" i="12"/>
  <c r="C235" i="12"/>
  <c r="C236" i="12"/>
  <c r="C237" i="12"/>
  <c r="C238" i="12"/>
  <c r="C239" i="12"/>
  <c r="C240" i="12"/>
  <c r="D242" i="12"/>
  <c r="C243" i="12"/>
  <c r="C244" i="12"/>
  <c r="D246" i="12"/>
  <c r="C247" i="12"/>
  <c r="C248" i="12"/>
  <c r="C249" i="12"/>
  <c r="C251" i="12"/>
  <c r="C252" i="12"/>
  <c r="C253" i="12"/>
  <c r="C255" i="12"/>
  <c r="C256" i="12"/>
  <c r="D257" i="12"/>
  <c r="D258" i="12"/>
  <c r="C259" i="12"/>
  <c r="C260" i="12"/>
  <c r="D261" i="12"/>
  <c r="D262" i="12"/>
  <c r="C263" i="12"/>
  <c r="C264" i="12"/>
  <c r="C265" i="12"/>
  <c r="D266" i="12"/>
  <c r="C267" i="12"/>
  <c r="C268" i="12"/>
  <c r="C269" i="12"/>
  <c r="D270" i="12"/>
  <c r="C271" i="12"/>
  <c r="C272" i="12"/>
  <c r="D273" i="12"/>
  <c r="D274" i="12"/>
  <c r="C275" i="12"/>
  <c r="C276" i="12"/>
  <c r="D277" i="12"/>
  <c r="D278" i="12"/>
  <c r="C279" i="12"/>
  <c r="C280" i="12"/>
  <c r="C281" i="12"/>
  <c r="D282" i="12"/>
  <c r="C283" i="12"/>
  <c r="C284" i="12"/>
  <c r="C285" i="12"/>
  <c r="D286" i="12"/>
  <c r="C287" i="12"/>
  <c r="C288" i="12"/>
  <c r="D289" i="12"/>
  <c r="D290" i="12"/>
  <c r="C291" i="12"/>
  <c r="C292" i="12"/>
  <c r="D293" i="12"/>
  <c r="D2" i="12"/>
  <c r="B3" i="12"/>
  <c r="B4" i="12"/>
  <c r="B5" i="12"/>
  <c r="B6" i="12"/>
  <c r="B7" i="12"/>
  <c r="B8" i="12"/>
  <c r="B9" i="12"/>
  <c r="B10" i="12"/>
  <c r="B11"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 i="12"/>
  <c r="D3" i="12"/>
  <c r="D46" i="12"/>
  <c r="D174" i="12"/>
  <c r="D9" i="12"/>
  <c r="D13" i="12"/>
  <c r="D16" i="12"/>
  <c r="D24" i="12"/>
  <c r="D25" i="12"/>
  <c r="D29" i="12"/>
  <c r="D41" i="12"/>
  <c r="D45" i="12"/>
  <c r="D52" i="12"/>
  <c r="D57" i="12"/>
  <c r="D61" i="12"/>
  <c r="D73" i="12"/>
  <c r="D77" i="12"/>
  <c r="D80" i="12"/>
  <c r="D88" i="12"/>
  <c r="D89" i="12"/>
  <c r="D93" i="12"/>
  <c r="D105" i="12"/>
  <c r="D109" i="12"/>
  <c r="D116" i="12"/>
  <c r="D121" i="12"/>
  <c r="D125" i="12"/>
  <c r="D137" i="12"/>
  <c r="D141" i="12"/>
  <c r="D144" i="12"/>
  <c r="D152" i="12"/>
  <c r="D153" i="12"/>
  <c r="D157" i="12"/>
  <c r="D169" i="12"/>
  <c r="D173" i="12"/>
  <c r="D180" i="12"/>
  <c r="D185" i="12"/>
  <c r="D189" i="12"/>
  <c r="D201" i="12"/>
  <c r="D205" i="12"/>
  <c r="D208" i="12"/>
  <c r="D216" i="12"/>
  <c r="D217" i="12"/>
  <c r="D221" i="12"/>
  <c r="D233" i="12"/>
  <c r="D237" i="12"/>
  <c r="D244" i="12"/>
  <c r="D249" i="12"/>
  <c r="D253" i="12"/>
  <c r="D265" i="12"/>
  <c r="D269" i="12"/>
  <c r="D272" i="12"/>
  <c r="D280" i="12"/>
  <c r="D281" i="12"/>
  <c r="D285" i="12"/>
  <c r="D91" i="12" l="1"/>
  <c r="D199" i="12"/>
  <c r="D63" i="12"/>
  <c r="D223" i="12"/>
  <c r="D207" i="12"/>
  <c r="D179" i="12"/>
  <c r="D235" i="12"/>
  <c r="D187" i="12"/>
  <c r="D103" i="12"/>
  <c r="D75" i="12"/>
  <c r="D291" i="12"/>
  <c r="D151" i="12"/>
  <c r="D131" i="12"/>
  <c r="D111" i="12"/>
  <c r="D83" i="12"/>
  <c r="D55" i="12"/>
  <c r="D35" i="12"/>
  <c r="D287" i="12"/>
  <c r="D271" i="12"/>
  <c r="D263" i="12"/>
  <c r="D251" i="12"/>
  <c r="D243" i="12"/>
  <c r="D215" i="12"/>
  <c r="D195" i="12"/>
  <c r="D175" i="12"/>
  <c r="D167" i="12"/>
  <c r="D155" i="12"/>
  <c r="D147" i="12"/>
  <c r="D139" i="12"/>
  <c r="D127" i="12"/>
  <c r="D119" i="12"/>
  <c r="D99" i="12"/>
  <c r="D43" i="12"/>
  <c r="D31" i="12"/>
  <c r="D15" i="12"/>
  <c r="D7" i="12"/>
  <c r="D279" i="12"/>
  <c r="D259" i="12"/>
  <c r="D239" i="12"/>
  <c r="D231" i="12"/>
  <c r="D219" i="12"/>
  <c r="D211" i="12"/>
  <c r="D203" i="12"/>
  <c r="D191" i="12"/>
  <c r="D183" i="12"/>
  <c r="D163" i="12"/>
  <c r="D107" i="12"/>
  <c r="D95" i="12"/>
  <c r="D79" i="12"/>
  <c r="D71" i="12"/>
  <c r="D59" i="12"/>
  <c r="D51" i="12"/>
  <c r="D23" i="12"/>
  <c r="D283" i="12"/>
  <c r="D275" i="12"/>
  <c r="D267" i="12"/>
  <c r="D255" i="12"/>
  <c r="D247" i="12"/>
  <c r="D227" i="12"/>
  <c r="D171" i="12"/>
  <c r="D159" i="12"/>
  <c r="D143" i="12"/>
  <c r="D135" i="12"/>
  <c r="D123" i="12"/>
  <c r="D115" i="12"/>
  <c r="D87" i="12"/>
  <c r="D67" i="12"/>
  <c r="D47" i="12"/>
  <c r="D39" i="12"/>
  <c r="D27" i="12"/>
  <c r="D19" i="12"/>
  <c r="D11" i="12"/>
  <c r="D292" i="12"/>
  <c r="D264" i="12"/>
  <c r="D256" i="12"/>
  <c r="D228" i="12"/>
  <c r="D200" i="12"/>
  <c r="D192" i="12"/>
  <c r="D164" i="12"/>
  <c r="D136" i="12"/>
  <c r="D128" i="12"/>
  <c r="D100" i="12"/>
  <c r="D72" i="12"/>
  <c r="D64" i="12"/>
  <c r="D36" i="12"/>
  <c r="D8" i="12"/>
  <c r="D276" i="12"/>
  <c r="D248" i="12"/>
  <c r="D240" i="12"/>
  <c r="D212" i="12"/>
  <c r="D184" i="12"/>
  <c r="D176" i="12"/>
  <c r="D148" i="12"/>
  <c r="D120" i="12"/>
  <c r="D112" i="12"/>
  <c r="D84" i="12"/>
  <c r="D56" i="12"/>
  <c r="D48" i="12"/>
  <c r="D20" i="12"/>
  <c r="D288" i="12"/>
  <c r="D260" i="12"/>
  <c r="D232" i="12"/>
  <c r="D224" i="12"/>
  <c r="D196" i="12"/>
  <c r="D168" i="12"/>
  <c r="D160" i="12"/>
  <c r="D132" i="12"/>
  <c r="D104" i="12"/>
  <c r="D96" i="12"/>
  <c r="D68" i="12"/>
  <c r="D40" i="12"/>
  <c r="D32" i="12"/>
  <c r="D4" i="12"/>
  <c r="C293" i="12"/>
  <c r="C97" i="12"/>
  <c r="C273" i="12"/>
  <c r="D254" i="12"/>
  <c r="C254" i="12"/>
  <c r="D250" i="12"/>
  <c r="C250" i="12"/>
  <c r="D234" i="12"/>
  <c r="C234" i="12"/>
  <c r="D230" i="12"/>
  <c r="C230" i="12"/>
  <c r="D226" i="12"/>
  <c r="C226" i="12"/>
  <c r="D222" i="12"/>
  <c r="C222" i="12"/>
  <c r="D218" i="12"/>
  <c r="C218" i="12"/>
  <c r="D214" i="12"/>
  <c r="C214" i="12"/>
  <c r="D210" i="12"/>
  <c r="C210" i="12"/>
  <c r="D190" i="12"/>
  <c r="C190" i="12"/>
  <c r="D186" i="12"/>
  <c r="C186" i="12"/>
  <c r="D182" i="12"/>
  <c r="C182" i="12"/>
  <c r="D178" i="12"/>
  <c r="C178" i="12"/>
  <c r="D170" i="12"/>
  <c r="C170" i="12"/>
  <c r="D166" i="12"/>
  <c r="C166" i="12"/>
  <c r="D162" i="12"/>
  <c r="C162" i="12"/>
  <c r="D158" i="12"/>
  <c r="C158" i="12"/>
  <c r="D150" i="12"/>
  <c r="C150" i="12"/>
  <c r="D146" i="12"/>
  <c r="C146" i="12"/>
  <c r="D142" i="12"/>
  <c r="C142" i="12"/>
  <c r="D138" i="12"/>
  <c r="C138" i="12"/>
  <c r="D134" i="12"/>
  <c r="C134" i="12"/>
  <c r="D130" i="12"/>
  <c r="C130" i="12"/>
  <c r="D126" i="12"/>
  <c r="C126" i="12"/>
  <c r="D122" i="12"/>
  <c r="C122" i="12"/>
  <c r="D118" i="12"/>
  <c r="C118" i="12"/>
  <c r="D114" i="12"/>
  <c r="C114" i="12"/>
  <c r="D106" i="12"/>
  <c r="C106" i="12"/>
  <c r="D102" i="12"/>
  <c r="C102" i="12"/>
  <c r="D98" i="12"/>
  <c r="C98" i="12"/>
  <c r="D94" i="12"/>
  <c r="C94" i="12"/>
  <c r="D90" i="12"/>
  <c r="C90" i="12"/>
  <c r="D86" i="12"/>
  <c r="C86" i="12"/>
  <c r="D82" i="12"/>
  <c r="C82" i="12"/>
  <c r="D78" i="12"/>
  <c r="C78" i="12"/>
  <c r="D74" i="12"/>
  <c r="C74" i="12"/>
  <c r="D70" i="12"/>
  <c r="C70" i="12"/>
  <c r="D66" i="12"/>
  <c r="C66" i="12"/>
  <c r="D62" i="12"/>
  <c r="C62" i="12"/>
  <c r="D58" i="12"/>
  <c r="C58" i="12"/>
  <c r="D54" i="12"/>
  <c r="C54" i="12"/>
  <c r="D50" i="12"/>
  <c r="C50" i="12"/>
  <c r="D42" i="12"/>
  <c r="C42" i="12"/>
  <c r="D38" i="12"/>
  <c r="C38" i="12"/>
  <c r="D34" i="12"/>
  <c r="C34" i="12"/>
  <c r="D30" i="12"/>
  <c r="C30" i="12"/>
  <c r="D26" i="12"/>
  <c r="C26" i="12"/>
  <c r="D22" i="12"/>
  <c r="C22" i="12"/>
  <c r="D18" i="12"/>
  <c r="C18" i="12"/>
  <c r="D14" i="12"/>
  <c r="C14" i="12"/>
  <c r="D10" i="12"/>
  <c r="C10" i="12"/>
  <c r="D6" i="12"/>
  <c r="C6" i="12"/>
  <c r="C282" i="12"/>
  <c r="C262" i="12"/>
  <c r="C258" i="12"/>
  <c r="D268" i="12"/>
  <c r="D236" i="12"/>
  <c r="D204" i="12"/>
  <c r="D172" i="12"/>
  <c r="D140" i="12"/>
  <c r="D108" i="12"/>
  <c r="D76" i="12"/>
  <c r="D44" i="12"/>
  <c r="D12" i="12"/>
  <c r="D110" i="12"/>
  <c r="D245" i="12"/>
  <c r="C245" i="12"/>
  <c r="D241" i="12"/>
  <c r="C241" i="12"/>
  <c r="D225" i="12"/>
  <c r="C225" i="12"/>
  <c r="D213" i="12"/>
  <c r="C213" i="12"/>
  <c r="D209" i="12"/>
  <c r="C209" i="12"/>
  <c r="D197" i="12"/>
  <c r="C197" i="12"/>
  <c r="D193" i="12"/>
  <c r="C193" i="12"/>
  <c r="D181" i="12"/>
  <c r="C181" i="12"/>
  <c r="D161" i="12"/>
  <c r="C161" i="12"/>
  <c r="D149" i="12"/>
  <c r="C149" i="12"/>
  <c r="D145" i="12"/>
  <c r="C145" i="12"/>
  <c r="D133" i="12"/>
  <c r="C133" i="12"/>
  <c r="D129" i="12"/>
  <c r="C129" i="12"/>
  <c r="D117" i="12"/>
  <c r="C117" i="12"/>
  <c r="D101" i="12"/>
  <c r="C101" i="12"/>
  <c r="D85" i="12"/>
  <c r="C85" i="12"/>
  <c r="D81" i="12"/>
  <c r="C81" i="12"/>
  <c r="D69" i="12"/>
  <c r="C69" i="12"/>
  <c r="D65" i="12"/>
  <c r="C65" i="12"/>
  <c r="D53" i="12"/>
  <c r="C53" i="12"/>
  <c r="D49" i="12"/>
  <c r="C49" i="12"/>
  <c r="D37" i="12"/>
  <c r="C37" i="12"/>
  <c r="D33" i="12"/>
  <c r="C33" i="12"/>
  <c r="D21" i="12"/>
  <c r="C21" i="12"/>
  <c r="D17" i="12"/>
  <c r="C17" i="12"/>
  <c r="D5" i="12"/>
  <c r="C5" i="12"/>
  <c r="C289" i="12"/>
  <c r="C278" i="12"/>
  <c r="C274" i="12"/>
  <c r="C242" i="12"/>
  <c r="C202" i="12"/>
  <c r="C194" i="12"/>
  <c r="C177" i="12"/>
  <c r="C154" i="12"/>
  <c r="C290" i="12"/>
  <c r="C270" i="12"/>
  <c r="C261" i="12"/>
  <c r="C229" i="12"/>
  <c r="C113" i="12"/>
  <c r="D284" i="12"/>
  <c r="D252" i="12"/>
  <c r="D220" i="12"/>
  <c r="D188" i="12"/>
  <c r="D156" i="12"/>
  <c r="D124" i="12"/>
  <c r="D92" i="12"/>
  <c r="D60" i="12"/>
  <c r="D28" i="12"/>
  <c r="D238" i="12"/>
  <c r="C286" i="12"/>
  <c r="C277" i="12"/>
  <c r="C266" i="12"/>
  <c r="C257" i="12"/>
  <c r="C246" i="12"/>
  <c r="C206" i="12"/>
  <c r="C198" i="12"/>
  <c r="C165" i="12"/>
  <c r="C2" i="12"/>
  <c r="BF12" i="1" l="1"/>
  <c r="AZ12" i="1"/>
  <c r="AT12" i="1"/>
  <c r="AN12" i="1"/>
  <c r="AH12" i="1"/>
  <c r="AB12" i="1"/>
  <c r="V12" i="1"/>
  <c r="P12" i="1"/>
  <c r="J12" i="1"/>
  <c r="D12" i="1"/>
  <c r="BG12" i="1"/>
  <c r="BA12" i="1"/>
  <c r="AU12" i="1"/>
  <c r="AO12" i="1"/>
  <c r="AI12" i="1"/>
  <c r="AC12" i="1"/>
  <c r="W12" i="1"/>
  <c r="Q12" i="1"/>
  <c r="K12" i="1"/>
  <c r="E12" i="1"/>
  <c r="BD10" i="1"/>
  <c r="AX10" i="1"/>
  <c r="AR10" i="1"/>
  <c r="AL10" i="1"/>
  <c r="AF10" i="1"/>
  <c r="Z10" i="1"/>
  <c r="T10" i="1"/>
  <c r="N10" i="1"/>
  <c r="H10" i="1"/>
  <c r="B10" i="1"/>
  <c r="BD14" i="1"/>
  <c r="BD13" i="1"/>
  <c r="AX14" i="1"/>
  <c r="AX13" i="1"/>
  <c r="AR14" i="1"/>
  <c r="AR13" i="1"/>
  <c r="AL14" i="1"/>
  <c r="AL13" i="1"/>
  <c r="AF14" i="1"/>
  <c r="AF13" i="1"/>
  <c r="Z14" i="1"/>
  <c r="Z13" i="1"/>
  <c r="T14" i="1"/>
  <c r="T13" i="1"/>
  <c r="N14" i="1"/>
  <c r="N13" i="1"/>
  <c r="H14" i="1"/>
  <c r="H13" i="1"/>
  <c r="B14" i="1"/>
  <c r="B13" i="1"/>
  <c r="BC11" i="1" l="1"/>
  <c r="AQ11" i="1"/>
  <c r="AE11" i="1"/>
  <c r="M11" i="1"/>
  <c r="BI11" i="1" l="1"/>
  <c r="AW11" i="1"/>
  <c r="AK11" i="1"/>
  <c r="Y11" i="1"/>
  <c r="S11" i="1"/>
  <c r="G11" i="1"/>
  <c r="M21" i="5"/>
  <c r="L21" i="5"/>
  <c r="K21" i="5"/>
  <c r="J21" i="5"/>
  <c r="I21" i="5"/>
  <c r="H21" i="5"/>
  <c r="G21" i="5"/>
  <c r="F21" i="5"/>
  <c r="E21" i="5"/>
  <c r="D21" i="5"/>
  <c r="M20" i="5"/>
  <c r="L20" i="5"/>
  <c r="K20" i="5"/>
  <c r="J20" i="5"/>
  <c r="I20" i="5"/>
  <c r="H20" i="5"/>
  <c r="G20" i="5"/>
  <c r="F20" i="5"/>
  <c r="E20" i="5"/>
  <c r="D20" i="5"/>
  <c r="M19" i="5"/>
  <c r="L19" i="5"/>
  <c r="K19" i="5"/>
  <c r="J19" i="5"/>
  <c r="I19" i="5"/>
  <c r="H19" i="5"/>
  <c r="G19" i="5"/>
  <c r="F19" i="5"/>
  <c r="E19" i="5"/>
  <c r="D19" i="5"/>
  <c r="M18" i="5"/>
  <c r="L18" i="5"/>
  <c r="K18" i="5"/>
  <c r="J18" i="5"/>
  <c r="I18" i="5"/>
  <c r="H18" i="5"/>
  <c r="G18" i="5"/>
  <c r="F18" i="5"/>
  <c r="E18" i="5"/>
  <c r="D18" i="5"/>
  <c r="M17" i="5"/>
  <c r="L17" i="5"/>
  <c r="K17" i="5"/>
  <c r="J17" i="5"/>
  <c r="I17" i="5"/>
  <c r="H17" i="5"/>
  <c r="G17" i="5"/>
  <c r="F17" i="5"/>
  <c r="E17" i="5"/>
  <c r="D17" i="5"/>
  <c r="M16" i="5"/>
  <c r="L16" i="5"/>
  <c r="K16" i="5"/>
  <c r="J16" i="5"/>
  <c r="I16" i="5"/>
  <c r="H16" i="5"/>
  <c r="G16" i="5"/>
  <c r="F16" i="5"/>
  <c r="E16" i="5"/>
  <c r="D16" i="5"/>
  <c r="M15" i="5"/>
  <c r="L15" i="5"/>
  <c r="K15" i="5"/>
  <c r="J15" i="5"/>
  <c r="I15" i="5"/>
  <c r="H15" i="5"/>
  <c r="G15" i="5"/>
  <c r="F15" i="5"/>
  <c r="E15" i="5"/>
  <c r="D15" i="5"/>
  <c r="M14" i="5"/>
  <c r="L14" i="5"/>
  <c r="K14" i="5"/>
  <c r="J14" i="5"/>
  <c r="I14" i="5"/>
  <c r="H14" i="5"/>
  <c r="G14" i="5"/>
  <c r="F14" i="5"/>
  <c r="E14" i="5"/>
  <c r="D14" i="5"/>
  <c r="M13" i="5"/>
  <c r="L13" i="5"/>
  <c r="K13" i="5"/>
  <c r="J13" i="5"/>
  <c r="I13" i="5"/>
  <c r="H13" i="5"/>
  <c r="G13" i="5"/>
  <c r="F13" i="5"/>
  <c r="E13" i="5"/>
  <c r="D13" i="5"/>
  <c r="M12" i="5"/>
  <c r="L12" i="5"/>
  <c r="K12" i="5"/>
  <c r="J12" i="5"/>
  <c r="I12" i="5"/>
  <c r="H12" i="5"/>
  <c r="G12" i="5"/>
  <c r="F12" i="5"/>
  <c r="E12" i="5"/>
  <c r="D12" i="5"/>
  <c r="M11" i="5"/>
  <c r="L11" i="5"/>
  <c r="K11" i="5"/>
  <c r="J11" i="5"/>
  <c r="I11" i="5"/>
  <c r="H11" i="5"/>
  <c r="G11" i="5"/>
  <c r="F11" i="5"/>
  <c r="E11" i="5"/>
  <c r="D11" i="5"/>
  <c r="B11" i="5"/>
  <c r="M10" i="5"/>
  <c r="L10" i="5"/>
  <c r="K10" i="5"/>
  <c r="J10" i="5"/>
  <c r="I10" i="5"/>
  <c r="H10" i="5"/>
  <c r="G10" i="5"/>
  <c r="F10" i="5"/>
  <c r="E10" i="5"/>
  <c r="D10" i="5"/>
  <c r="B10" i="5"/>
  <c r="M9" i="5"/>
  <c r="L9" i="5"/>
  <c r="K9" i="5"/>
  <c r="J9" i="5"/>
  <c r="I9" i="5"/>
  <c r="H9" i="5"/>
  <c r="G9" i="5"/>
  <c r="F9" i="5"/>
  <c r="E9" i="5"/>
  <c r="D9" i="5"/>
  <c r="B9" i="5"/>
  <c r="M8" i="5"/>
  <c r="L8" i="5"/>
  <c r="K8" i="5"/>
  <c r="J8" i="5"/>
  <c r="I8" i="5"/>
  <c r="H8" i="5"/>
  <c r="G8" i="5"/>
  <c r="F8" i="5"/>
  <c r="E8" i="5"/>
  <c r="D8" i="5"/>
  <c r="B8" i="5"/>
  <c r="M7" i="5"/>
  <c r="L7" i="5"/>
  <c r="K7" i="5"/>
  <c r="J7" i="5"/>
  <c r="I7" i="5"/>
  <c r="H7" i="5"/>
  <c r="G7" i="5"/>
  <c r="F7" i="5"/>
  <c r="E7" i="5"/>
  <c r="D7" i="5"/>
  <c r="B7" i="5"/>
  <c r="M6" i="5"/>
  <c r="L6" i="5"/>
  <c r="K6" i="5"/>
  <c r="J6" i="5"/>
  <c r="I6" i="5"/>
  <c r="H6" i="5"/>
  <c r="G6" i="5"/>
  <c r="F6" i="5"/>
  <c r="E6" i="5"/>
  <c r="D6" i="5"/>
  <c r="B6" i="5"/>
  <c r="M5" i="5"/>
  <c r="L5" i="5"/>
  <c r="K5" i="5"/>
  <c r="J5" i="5"/>
  <c r="I5" i="5"/>
  <c r="H5" i="5"/>
  <c r="G5" i="5"/>
  <c r="F5" i="5"/>
  <c r="E5" i="5"/>
  <c r="D5" i="5"/>
  <c r="B5" i="5"/>
  <c r="M4" i="5"/>
  <c r="L4" i="5"/>
  <c r="K4" i="5"/>
  <c r="J4" i="5"/>
  <c r="I4" i="5"/>
  <c r="H4" i="5"/>
  <c r="G4" i="5"/>
  <c r="F4" i="5"/>
  <c r="E4" i="5"/>
  <c r="D4" i="5"/>
  <c r="B4" i="5"/>
  <c r="M3" i="5"/>
  <c r="L3" i="5"/>
  <c r="K3" i="5"/>
  <c r="J3" i="5"/>
  <c r="I3" i="5"/>
  <c r="H3" i="5"/>
  <c r="G3" i="5"/>
  <c r="F3" i="5"/>
  <c r="E3" i="5"/>
  <c r="D3" i="5"/>
  <c r="B3" i="5"/>
  <c r="M2" i="5"/>
  <c r="L2" i="5"/>
  <c r="K2" i="5"/>
  <c r="J2" i="5"/>
  <c r="I2" i="5"/>
  <c r="H2" i="5"/>
  <c r="G2" i="5"/>
  <c r="F2" i="5"/>
  <c r="E2" i="5"/>
  <c r="D2" i="5"/>
  <c r="B2" i="5"/>
  <c r="AC6" i="2" s="1"/>
  <c r="AD113" i="2"/>
  <c r="AD112" i="2"/>
  <c r="AD111" i="2"/>
  <c r="AD110" i="2"/>
  <c r="AD109" i="2"/>
  <c r="AD108" i="2"/>
  <c r="AD107" i="2"/>
  <c r="AD106" i="2"/>
  <c r="AD105" i="2"/>
  <c r="AD104" i="2"/>
  <c r="AD103" i="2"/>
  <c r="AD102" i="2"/>
  <c r="AD101" i="2"/>
  <c r="AD100" i="2"/>
  <c r="AD99" i="2"/>
  <c r="AD98" i="2"/>
  <c r="AD97" i="2"/>
  <c r="AD96" i="2"/>
  <c r="AD95" i="2"/>
  <c r="AD94" i="2"/>
  <c r="AD93" i="2"/>
  <c r="AD92" i="2"/>
  <c r="AD91" i="2"/>
  <c r="AD90" i="2"/>
  <c r="AD89" i="2"/>
  <c r="AD88" i="2"/>
  <c r="AD87" i="2"/>
  <c r="AD86" i="2"/>
  <c r="AD85" i="2"/>
  <c r="AD84" i="2"/>
  <c r="AD83" i="2"/>
  <c r="AD82" i="2"/>
  <c r="AD81" i="2"/>
  <c r="AD80" i="2"/>
  <c r="AD79" i="2"/>
  <c r="AD78" i="2"/>
  <c r="AD77" i="2"/>
  <c r="AD76" i="2"/>
  <c r="AD75" i="2"/>
  <c r="AD74" i="2"/>
  <c r="AD73" i="2"/>
  <c r="AD72" i="2"/>
  <c r="AD71" i="2"/>
  <c r="AD70" i="2"/>
  <c r="AD69" i="2"/>
  <c r="AD68" i="2"/>
  <c r="AD67" i="2"/>
  <c r="AD66" i="2"/>
  <c r="AD65" i="2"/>
  <c r="AC65" i="2"/>
  <c r="AD64" i="2"/>
  <c r="AD63" i="2"/>
  <c r="AD62" i="2"/>
  <c r="AD61" i="2"/>
  <c r="AD60" i="2"/>
  <c r="AD59" i="2"/>
  <c r="AD58" i="2"/>
  <c r="AD57" i="2"/>
  <c r="AD56" i="2"/>
  <c r="AD55" i="2"/>
  <c r="AC55" i="2"/>
  <c r="AD54" i="2"/>
  <c r="AD53" i="2"/>
  <c r="AD49" i="2"/>
  <c r="AD42" i="2"/>
  <c r="AD41" i="2"/>
  <c r="AD40" i="2"/>
  <c r="AD32" i="2"/>
  <c r="AD31" i="2"/>
  <c r="AC31" i="2"/>
  <c r="AD30" i="2"/>
  <c r="AD29" i="2"/>
  <c r="AD27" i="2"/>
  <c r="AD25" i="2"/>
  <c r="AD18" i="2"/>
  <c r="AD17" i="2"/>
  <c r="AD16" i="2"/>
  <c r="AD15" i="2"/>
  <c r="AD14" i="2"/>
  <c r="AD12" i="2"/>
  <c r="AD11" i="2"/>
  <c r="AD10" i="2"/>
  <c r="AD9" i="2"/>
  <c r="AD8" i="2"/>
  <c r="AD7" i="2"/>
  <c r="AD6" i="2"/>
  <c r="AD5" i="2"/>
  <c r="AD3" i="2"/>
  <c r="AD2" i="2"/>
  <c r="G33" i="2" l="1"/>
  <c r="K24" i="2"/>
  <c r="G22" i="2"/>
  <c r="G52" i="2"/>
  <c r="G51" i="2"/>
  <c r="G24" i="2"/>
  <c r="K21" i="2"/>
  <c r="K50" i="2"/>
  <c r="K35" i="2"/>
  <c r="K26" i="2"/>
  <c r="G21" i="2"/>
  <c r="G50" i="2"/>
  <c r="G35" i="2"/>
  <c r="G26" i="2"/>
  <c r="K33" i="2"/>
  <c r="K22" i="2"/>
  <c r="K52" i="2"/>
  <c r="K51" i="2"/>
  <c r="G37" i="2"/>
  <c r="G36" i="2"/>
  <c r="K37" i="2"/>
  <c r="K36" i="2"/>
  <c r="K34" i="2"/>
  <c r="K39" i="2"/>
  <c r="G38" i="2"/>
  <c r="G34" i="2"/>
  <c r="K38" i="2"/>
  <c r="G39" i="2"/>
  <c r="G43" i="2"/>
  <c r="K45" i="2"/>
  <c r="G19" i="2"/>
  <c r="G46" i="2"/>
  <c r="G20" i="2"/>
  <c r="G23" i="2"/>
  <c r="G45" i="2"/>
  <c r="G44" i="2"/>
  <c r="K23" i="2"/>
  <c r="K48" i="2"/>
  <c r="K19" i="2"/>
  <c r="G47" i="2"/>
  <c r="K43" i="2"/>
  <c r="G48" i="2"/>
  <c r="K20" i="2"/>
  <c r="K47" i="2"/>
  <c r="K46" i="2"/>
  <c r="K44" i="2"/>
  <c r="G28" i="2"/>
  <c r="K28" i="2"/>
  <c r="G13" i="2"/>
  <c r="K4" i="2"/>
  <c r="G4" i="2"/>
  <c r="K13" i="2"/>
  <c r="AC16" i="2"/>
  <c r="AC63" i="2"/>
  <c r="AC29" i="2"/>
  <c r="AC69" i="2"/>
  <c r="AC73" i="2"/>
  <c r="AC77" i="2"/>
  <c r="AC81" i="2"/>
  <c r="AC85" i="2"/>
  <c r="AC87" i="2"/>
  <c r="AC91" i="2"/>
  <c r="AC93" i="2"/>
  <c r="AC95" i="2"/>
  <c r="AC97" i="2"/>
  <c r="AC99" i="2"/>
  <c r="AC101" i="2"/>
  <c r="AC103" i="2"/>
  <c r="AC105" i="2"/>
  <c r="AC107" i="2"/>
  <c r="AC109" i="2"/>
  <c r="AC111" i="2"/>
  <c r="AC113" i="2"/>
  <c r="AC14" i="2"/>
  <c r="AC53" i="2"/>
  <c r="AC61" i="2"/>
  <c r="AC71" i="2"/>
  <c r="AC75" i="2"/>
  <c r="AC79" i="2"/>
  <c r="AC83" i="2"/>
  <c r="AC89" i="2"/>
  <c r="AC11" i="2"/>
  <c r="AC27" i="2"/>
  <c r="AC42" i="2"/>
  <c r="AC59" i="2"/>
  <c r="AC67" i="2"/>
  <c r="AC9" i="2"/>
  <c r="AC18" i="2"/>
  <c r="AC40" i="2"/>
  <c r="AC57" i="2"/>
  <c r="AC70" i="2"/>
  <c r="AC72" i="2"/>
  <c r="AC74" i="2"/>
  <c r="AC76" i="2"/>
  <c r="AC78" i="2"/>
  <c r="AC80" i="2"/>
  <c r="AC82" i="2"/>
  <c r="AC84" i="2"/>
  <c r="AC86" i="2"/>
  <c r="AC88" i="2"/>
  <c r="AC90" i="2"/>
  <c r="AC92" i="2"/>
  <c r="AC94" i="2"/>
  <c r="AC96" i="2"/>
  <c r="AC98" i="2"/>
  <c r="AC100" i="2"/>
  <c r="AC102" i="2"/>
  <c r="AC104" i="2"/>
  <c r="AC106" i="2"/>
  <c r="AC108" i="2"/>
  <c r="AC110" i="2"/>
  <c r="AC112" i="2"/>
  <c r="G105" i="2"/>
  <c r="K105" i="2"/>
  <c r="M105" i="2" s="1"/>
  <c r="G112" i="2"/>
  <c r="K112" i="2"/>
  <c r="M112" i="2" s="1"/>
  <c r="G86" i="2"/>
  <c r="K86" i="2"/>
  <c r="L86" i="2" s="1"/>
  <c r="K12" i="2"/>
  <c r="L12" i="2" s="1"/>
  <c r="G12" i="2"/>
  <c r="K103" i="2"/>
  <c r="M103" i="2" s="1"/>
  <c r="G103" i="2"/>
  <c r="G5" i="2"/>
  <c r="K5" i="2"/>
  <c r="L5" i="2" s="1"/>
  <c r="K11" i="2"/>
  <c r="M11" i="2" s="1"/>
  <c r="G11" i="2"/>
  <c r="K71" i="2"/>
  <c r="M71" i="2" s="1"/>
  <c r="G71" i="2"/>
  <c r="G65" i="2"/>
  <c r="K65" i="2"/>
  <c r="M65" i="2" s="1"/>
  <c r="K110" i="2"/>
  <c r="M110" i="2" s="1"/>
  <c r="G110" i="2"/>
  <c r="G95" i="2"/>
  <c r="K95" i="2"/>
  <c r="L95" i="2" s="1"/>
  <c r="G92" i="2"/>
  <c r="K92" i="2"/>
  <c r="L92" i="2" s="1"/>
  <c r="K66" i="2"/>
  <c r="M66" i="2" s="1"/>
  <c r="G66" i="2"/>
  <c r="K104" i="2"/>
  <c r="M104" i="2" s="1"/>
  <c r="G104" i="2"/>
  <c r="K70" i="2"/>
  <c r="M70" i="2" s="1"/>
  <c r="G70" i="2"/>
  <c r="G96" i="2"/>
  <c r="K96" i="2"/>
  <c r="L96" i="2" s="1"/>
  <c r="G88" i="2"/>
  <c r="K88" i="2"/>
  <c r="L88" i="2" s="1"/>
  <c r="G99" i="2"/>
  <c r="K99" i="2"/>
  <c r="L99" i="2" s="1"/>
  <c r="G109" i="2"/>
  <c r="K109" i="2"/>
  <c r="M109" i="2" s="1"/>
  <c r="G6" i="2"/>
  <c r="K6" i="2"/>
  <c r="L6" i="2" s="1"/>
  <c r="K111" i="2"/>
  <c r="M111" i="2" s="1"/>
  <c r="G111" i="2"/>
  <c r="G97" i="2"/>
  <c r="K97" i="2"/>
  <c r="L97" i="2" s="1"/>
  <c r="K90" i="2"/>
  <c r="M90" i="2" s="1"/>
  <c r="G90" i="2"/>
  <c r="K87" i="2"/>
  <c r="M87" i="2" s="1"/>
  <c r="G87" i="2"/>
  <c r="K14" i="2"/>
  <c r="M14" i="2" s="1"/>
  <c r="G14" i="2"/>
  <c r="K98" i="2"/>
  <c r="M98" i="2" s="1"/>
  <c r="G98" i="2"/>
  <c r="G74" i="2"/>
  <c r="K74" i="2"/>
  <c r="M74" i="2" s="1"/>
  <c r="G73" i="2"/>
  <c r="K73" i="2"/>
  <c r="M73" i="2" s="1"/>
  <c r="K72" i="2"/>
  <c r="M72" i="2" s="1"/>
  <c r="G72" i="2"/>
  <c r="K15" i="2"/>
  <c r="L15" i="2" s="1"/>
  <c r="G15" i="2"/>
  <c r="G82" i="2"/>
  <c r="K82" i="2"/>
  <c r="M82" i="2" s="1"/>
  <c r="K16" i="2"/>
  <c r="L16" i="2" s="1"/>
  <c r="G16" i="2"/>
  <c r="G85" i="2"/>
  <c r="K85" i="2"/>
  <c r="M85" i="2" s="1"/>
  <c r="K84" i="2"/>
  <c r="M84" i="2" s="1"/>
  <c r="G84" i="2"/>
  <c r="K83" i="2"/>
  <c r="M83" i="2" s="1"/>
  <c r="G83" i="2"/>
  <c r="G89" i="2"/>
  <c r="K89" i="2"/>
  <c r="L89" i="2" s="1"/>
  <c r="G55" i="2"/>
  <c r="K55" i="2"/>
  <c r="M55" i="2" s="1"/>
  <c r="K81" i="2"/>
  <c r="M81" i="2" s="1"/>
  <c r="G81" i="2"/>
  <c r="G54" i="2"/>
  <c r="K54" i="2"/>
  <c r="M54" i="2" s="1"/>
  <c r="G102" i="2"/>
  <c r="K102" i="2"/>
  <c r="M102" i="2" s="1"/>
  <c r="G69" i="2"/>
  <c r="K69" i="2"/>
  <c r="L69" i="2" s="1"/>
  <c r="G108" i="2"/>
  <c r="K108" i="2"/>
  <c r="L108" i="2" s="1"/>
  <c r="G64" i="2"/>
  <c r="K64" i="2"/>
  <c r="M64" i="2" s="1"/>
  <c r="G10" i="2"/>
  <c r="K10" i="2"/>
  <c r="M10" i="2" s="1"/>
  <c r="G94" i="2"/>
  <c r="K94" i="2"/>
  <c r="L94" i="2" s="1"/>
  <c r="G68" i="2"/>
  <c r="K68" i="2"/>
  <c r="M68" i="2" s="1"/>
  <c r="G107" i="2"/>
  <c r="K107" i="2"/>
  <c r="M107" i="2" s="1"/>
  <c r="G3" i="2"/>
  <c r="K3" i="2"/>
  <c r="L3" i="2" s="1"/>
  <c r="G101" i="2"/>
  <c r="K101" i="2"/>
  <c r="M101" i="2" s="1"/>
  <c r="K91" i="2"/>
  <c r="M91" i="2" s="1"/>
  <c r="G91" i="2"/>
  <c r="G100" i="2"/>
  <c r="K100" i="2"/>
  <c r="M100" i="2" s="1"/>
  <c r="G106" i="2"/>
  <c r="K106" i="2"/>
  <c r="L106" i="2" s="1"/>
  <c r="G67" i="2"/>
  <c r="K67" i="2"/>
  <c r="M67" i="2" s="1"/>
  <c r="K2" i="2"/>
  <c r="M2" i="2" s="1"/>
  <c r="G2" i="2"/>
  <c r="G63" i="2"/>
  <c r="K63" i="2"/>
  <c r="M63" i="2" s="1"/>
  <c r="AC2" i="2"/>
  <c r="AC7" i="2"/>
  <c r="AC10" i="2"/>
  <c r="AC12" i="2"/>
  <c r="AC17" i="2"/>
  <c r="AC32" i="2"/>
  <c r="AC49" i="2"/>
  <c r="AC56" i="2"/>
  <c r="AC60" i="2"/>
  <c r="AC68" i="2"/>
  <c r="AC8" i="2"/>
  <c r="AC5" i="2"/>
  <c r="AC15" i="2"/>
  <c r="AC25" i="2"/>
  <c r="AC30" i="2"/>
  <c r="AC41" i="2"/>
  <c r="AC54" i="2"/>
  <c r="AC58" i="2"/>
  <c r="AC62" i="2"/>
  <c r="AC64" i="2"/>
  <c r="AC66" i="2"/>
  <c r="AC3" i="2"/>
  <c r="G49" i="2"/>
  <c r="K49" i="2"/>
  <c r="K32" i="2"/>
  <c r="L32" i="2" s="1"/>
  <c r="G32" i="2"/>
  <c r="K58" i="2"/>
  <c r="L58" i="2" s="1"/>
  <c r="G58" i="2"/>
  <c r="K113" i="2"/>
  <c r="L113" i="2" s="1"/>
  <c r="G113" i="2"/>
  <c r="K62" i="2"/>
  <c r="L62" i="2" s="1"/>
  <c r="G62" i="2"/>
  <c r="G53" i="2"/>
  <c r="K53" i="2"/>
  <c r="M53" i="2" s="1"/>
  <c r="G78" i="2"/>
  <c r="K78" i="2"/>
  <c r="M78" i="2" s="1"/>
  <c r="K29" i="2"/>
  <c r="M29" i="2" s="1"/>
  <c r="G29" i="2"/>
  <c r="G41" i="2"/>
  <c r="K41" i="2"/>
  <c r="M41" i="2" s="1"/>
  <c r="G9" i="2"/>
  <c r="K9" i="2"/>
  <c r="M9" i="2" s="1"/>
  <c r="G59" i="2"/>
  <c r="K59" i="2"/>
  <c r="L59" i="2" s="1"/>
  <c r="G80" i="2"/>
  <c r="K80" i="2"/>
  <c r="L80" i="2" s="1"/>
  <c r="G61" i="2"/>
  <c r="K61" i="2"/>
  <c r="M61" i="2" s="1"/>
  <c r="G79" i="2"/>
  <c r="K79" i="2"/>
  <c r="L79" i="2" s="1"/>
  <c r="G93" i="2"/>
  <c r="K93" i="2"/>
  <c r="M93" i="2" s="1"/>
  <c r="G17" i="2"/>
  <c r="K17" i="2"/>
  <c r="L17" i="2" s="1"/>
  <c r="K57" i="2"/>
  <c r="M57" i="2" s="1"/>
  <c r="G57" i="2"/>
  <c r="K77" i="2"/>
  <c r="M77" i="2" s="1"/>
  <c r="G77" i="2"/>
  <c r="K40" i="2"/>
  <c r="M40" i="2" s="1"/>
  <c r="G40" i="2"/>
  <c r="K60" i="2"/>
  <c r="M60" i="2" s="1"/>
  <c r="G60" i="2"/>
  <c r="K7" i="2"/>
  <c r="M7" i="2" s="1"/>
  <c r="G7" i="2"/>
  <c r="K8" i="2"/>
  <c r="M8" i="2" s="1"/>
  <c r="G8" i="2"/>
  <c r="G75" i="2"/>
  <c r="G25" i="2"/>
  <c r="G76" i="2"/>
  <c r="G27" i="2"/>
  <c r="K76" i="2"/>
  <c r="G18" i="2"/>
  <c r="G42" i="2"/>
  <c r="G31" i="2"/>
  <c r="G30" i="2"/>
  <c r="G56" i="2"/>
  <c r="K75" i="2"/>
  <c r="L75" i="2" s="1"/>
  <c r="K25" i="2"/>
  <c r="M25" i="2" s="1"/>
  <c r="K56" i="2"/>
  <c r="M56" i="2" s="1"/>
  <c r="K27" i="2"/>
  <c r="M27" i="2" s="1"/>
  <c r="K30" i="2"/>
  <c r="L30" i="2" s="1"/>
  <c r="K42" i="2"/>
  <c r="L42" i="2" s="1"/>
  <c r="K31" i="2"/>
  <c r="M31" i="2" s="1"/>
  <c r="K18" i="2"/>
  <c r="M18" i="2" s="1"/>
  <c r="M51" i="2" l="1"/>
  <c r="L51" i="2"/>
  <c r="M22" i="2"/>
  <c r="L22" i="2"/>
  <c r="M26" i="2"/>
  <c r="L26" i="2"/>
  <c r="M50" i="2"/>
  <c r="L50" i="2"/>
  <c r="M24" i="2"/>
  <c r="L24" i="2"/>
  <c r="M52" i="2"/>
  <c r="L52" i="2"/>
  <c r="M33" i="2"/>
  <c r="L33" i="2"/>
  <c r="M35" i="2"/>
  <c r="L35" i="2"/>
  <c r="M21" i="2"/>
  <c r="L21" i="2"/>
  <c r="M36" i="2"/>
  <c r="L36" i="2"/>
  <c r="M37" i="2"/>
  <c r="L37" i="2"/>
  <c r="M39" i="2"/>
  <c r="L39" i="2"/>
  <c r="L38" i="2"/>
  <c r="M38" i="2"/>
  <c r="M34" i="2"/>
  <c r="L34" i="2"/>
  <c r="M47" i="2"/>
  <c r="L47" i="2"/>
  <c r="M20" i="2"/>
  <c r="L20" i="2"/>
  <c r="L19" i="2"/>
  <c r="M19" i="2"/>
  <c r="M44" i="2"/>
  <c r="L44" i="2"/>
  <c r="M48" i="2"/>
  <c r="L48" i="2"/>
  <c r="M45" i="2"/>
  <c r="L45" i="2"/>
  <c r="M46" i="2"/>
  <c r="L46" i="2"/>
  <c r="M43" i="2"/>
  <c r="L43" i="2"/>
  <c r="M23" i="2"/>
  <c r="L23" i="2"/>
  <c r="M28" i="2"/>
  <c r="L28" i="2"/>
  <c r="M13" i="2"/>
  <c r="L13" i="2"/>
  <c r="M4" i="2"/>
  <c r="L4" i="2"/>
  <c r="M6" i="2"/>
  <c r="O6" i="2" s="1"/>
  <c r="P6" i="2" s="1"/>
  <c r="L105" i="2"/>
  <c r="O105" i="2" s="1"/>
  <c r="P105" i="2" s="1"/>
  <c r="L112" i="2"/>
  <c r="N112" i="2" s="1"/>
  <c r="L2" i="2"/>
  <c r="O2" i="2" s="1"/>
  <c r="P2" i="2" s="1"/>
  <c r="M86" i="2"/>
  <c r="N86" i="2" s="1"/>
  <c r="M12" i="2"/>
  <c r="N12" i="2" s="1"/>
  <c r="L103" i="2"/>
  <c r="O103" i="2" s="1"/>
  <c r="P103" i="2" s="1"/>
  <c r="M88" i="2"/>
  <c r="O88" i="2" s="1"/>
  <c r="P88" i="2" s="1"/>
  <c r="M5" i="2"/>
  <c r="O5" i="2" s="1"/>
  <c r="P5" i="2" s="1"/>
  <c r="M95" i="2"/>
  <c r="N95" i="2" s="1"/>
  <c r="L109" i="2"/>
  <c r="O109" i="2" s="1"/>
  <c r="P109" i="2" s="1"/>
  <c r="L65" i="2"/>
  <c r="O65" i="2" s="1"/>
  <c r="P65" i="2" s="1"/>
  <c r="L66" i="2"/>
  <c r="O66" i="2" s="1"/>
  <c r="P66" i="2" s="1"/>
  <c r="L11" i="2"/>
  <c r="O11" i="2" s="1"/>
  <c r="P11" i="2" s="1"/>
  <c r="L111" i="2"/>
  <c r="O111" i="2" s="1"/>
  <c r="P111" i="2" s="1"/>
  <c r="L110" i="2"/>
  <c r="O110" i="2" s="1"/>
  <c r="P110" i="2" s="1"/>
  <c r="L71" i="2"/>
  <c r="O71" i="2" s="1"/>
  <c r="P71" i="2" s="1"/>
  <c r="L70" i="2"/>
  <c r="O70" i="2" s="1"/>
  <c r="P70" i="2" s="1"/>
  <c r="L104" i="2"/>
  <c r="O104" i="2" s="1"/>
  <c r="P104" i="2" s="1"/>
  <c r="M97" i="2"/>
  <c r="O97" i="2" s="1"/>
  <c r="P97" i="2" s="1"/>
  <c r="M92" i="2"/>
  <c r="O92" i="2" s="1"/>
  <c r="P92" i="2" s="1"/>
  <c r="M96" i="2"/>
  <c r="O96" i="2" s="1"/>
  <c r="P96" i="2" s="1"/>
  <c r="M99" i="2"/>
  <c r="O99" i="2" s="1"/>
  <c r="P99" i="2" s="1"/>
  <c r="M15" i="2"/>
  <c r="N15" i="2" s="1"/>
  <c r="M94" i="2"/>
  <c r="O94" i="2" s="1"/>
  <c r="P94" i="2" s="1"/>
  <c r="M16" i="2"/>
  <c r="N16" i="2" s="1"/>
  <c r="L90" i="2"/>
  <c r="N90" i="2" s="1"/>
  <c r="L72" i="2"/>
  <c r="N72" i="2" s="1"/>
  <c r="L83" i="2"/>
  <c r="N83" i="2" s="1"/>
  <c r="L14" i="2"/>
  <c r="O14" i="2" s="1"/>
  <c r="P14" i="2" s="1"/>
  <c r="L87" i="2"/>
  <c r="N87" i="2" s="1"/>
  <c r="L98" i="2"/>
  <c r="O98" i="2" s="1"/>
  <c r="P98" i="2" s="1"/>
  <c r="L84" i="2"/>
  <c r="O84" i="2" s="1"/>
  <c r="P84" i="2" s="1"/>
  <c r="L85" i="2"/>
  <c r="O85" i="2" s="1"/>
  <c r="P85" i="2" s="1"/>
  <c r="L74" i="2"/>
  <c r="O74" i="2" s="1"/>
  <c r="P74" i="2" s="1"/>
  <c r="L81" i="2"/>
  <c r="O81" i="2" s="1"/>
  <c r="P81" i="2" s="1"/>
  <c r="L55" i="2"/>
  <c r="O55" i="2" s="1"/>
  <c r="P55" i="2" s="1"/>
  <c r="L73" i="2"/>
  <c r="O73" i="2" s="1"/>
  <c r="P73" i="2" s="1"/>
  <c r="L54" i="2"/>
  <c r="O54" i="2" s="1"/>
  <c r="P54" i="2" s="1"/>
  <c r="M89" i="2"/>
  <c r="N89" i="2" s="1"/>
  <c r="L82" i="2"/>
  <c r="O82" i="2" s="1"/>
  <c r="P82" i="2" s="1"/>
  <c r="L102" i="2"/>
  <c r="O102" i="2" s="1"/>
  <c r="P102" i="2" s="1"/>
  <c r="L64" i="2"/>
  <c r="O64" i="2" s="1"/>
  <c r="P64" i="2" s="1"/>
  <c r="M69" i="2"/>
  <c r="N69" i="2" s="1"/>
  <c r="M3" i="2"/>
  <c r="O3" i="2" s="1"/>
  <c r="P3" i="2" s="1"/>
  <c r="M108" i="2"/>
  <c r="O108" i="2" s="1"/>
  <c r="P108" i="2" s="1"/>
  <c r="L10" i="2"/>
  <c r="O10" i="2" s="1"/>
  <c r="P10" i="2" s="1"/>
  <c r="L91" i="2"/>
  <c r="O91" i="2" s="1"/>
  <c r="P91" i="2" s="1"/>
  <c r="L68" i="2"/>
  <c r="O68" i="2" s="1"/>
  <c r="P68" i="2" s="1"/>
  <c r="L107" i="2"/>
  <c r="O107" i="2" s="1"/>
  <c r="P107" i="2" s="1"/>
  <c r="M106" i="2"/>
  <c r="O106" i="2" s="1"/>
  <c r="P106" i="2" s="1"/>
  <c r="L101" i="2"/>
  <c r="O101" i="2" s="1"/>
  <c r="P101" i="2" s="1"/>
  <c r="L67" i="2"/>
  <c r="N67" i="2" s="1"/>
  <c r="L100" i="2"/>
  <c r="O100" i="2" s="1"/>
  <c r="P100" i="2" s="1"/>
  <c r="L63" i="2"/>
  <c r="O63" i="2" s="1"/>
  <c r="P63" i="2" s="1"/>
  <c r="L77" i="2"/>
  <c r="O77" i="2" s="1"/>
  <c r="P77" i="2" s="1"/>
  <c r="M32" i="2"/>
  <c r="N32" i="2" s="1"/>
  <c r="M113" i="2"/>
  <c r="O113" i="2" s="1"/>
  <c r="P113" i="2" s="1"/>
  <c r="L40" i="2"/>
  <c r="O40" i="2" s="1"/>
  <c r="P40" i="2" s="1"/>
  <c r="M62" i="2"/>
  <c r="O62" i="2" s="1"/>
  <c r="P62" i="2" s="1"/>
  <c r="L93" i="2"/>
  <c r="N93" i="2" s="1"/>
  <c r="L57" i="2"/>
  <c r="O57" i="2" s="1"/>
  <c r="P57" i="2" s="1"/>
  <c r="L29" i="2"/>
  <c r="O29" i="2" s="1"/>
  <c r="P29" i="2" s="1"/>
  <c r="M80" i="2"/>
  <c r="O80" i="2" s="1"/>
  <c r="P80" i="2" s="1"/>
  <c r="M59" i="2"/>
  <c r="N59" i="2" s="1"/>
  <c r="M58" i="2"/>
  <c r="O58" i="2" s="1"/>
  <c r="P58" i="2" s="1"/>
  <c r="L53" i="2"/>
  <c r="O53" i="2" s="1"/>
  <c r="P53" i="2" s="1"/>
  <c r="L78" i="2"/>
  <c r="O78" i="2" s="1"/>
  <c r="P78" i="2" s="1"/>
  <c r="L7" i="2"/>
  <c r="O7" i="2" s="1"/>
  <c r="P7" i="2" s="1"/>
  <c r="L9" i="2"/>
  <c r="O9" i="2" s="1"/>
  <c r="P9" i="2" s="1"/>
  <c r="L8" i="2"/>
  <c r="N8" i="2" s="1"/>
  <c r="M79" i="2"/>
  <c r="O79" i="2" s="1"/>
  <c r="P79" i="2" s="1"/>
  <c r="L60" i="2"/>
  <c r="O60" i="2" s="1"/>
  <c r="P60" i="2" s="1"/>
  <c r="L61" i="2"/>
  <c r="O61" i="2" s="1"/>
  <c r="P61" i="2" s="1"/>
  <c r="L41" i="2"/>
  <c r="O41" i="2" s="1"/>
  <c r="P41" i="2" s="1"/>
  <c r="M17" i="2"/>
  <c r="O17" i="2" s="1"/>
  <c r="P17" i="2" s="1"/>
  <c r="L31" i="2"/>
  <c r="O31" i="2" s="1"/>
  <c r="P31" i="2" s="1"/>
  <c r="L27" i="2"/>
  <c r="N27" i="2" s="1"/>
  <c r="M75" i="2"/>
  <c r="O75" i="2" s="1"/>
  <c r="P75" i="2" s="1"/>
  <c r="M42" i="2"/>
  <c r="O42" i="2" s="1"/>
  <c r="P42" i="2" s="1"/>
  <c r="M30" i="2"/>
  <c r="N30" i="2" s="1"/>
  <c r="L18" i="2"/>
  <c r="N18" i="2" s="1"/>
  <c r="L25" i="2"/>
  <c r="N25" i="2" s="1"/>
  <c r="L56" i="2"/>
  <c r="O56" i="2" s="1"/>
  <c r="P56" i="2" s="1"/>
  <c r="N21" i="2" l="1"/>
  <c r="O21" i="2"/>
  <c r="P21" i="2" s="1"/>
  <c r="O35" i="2"/>
  <c r="P35" i="2" s="1"/>
  <c r="N35" i="2"/>
  <c r="O33" i="2"/>
  <c r="P33" i="2" s="1"/>
  <c r="N33" i="2"/>
  <c r="N52" i="2"/>
  <c r="O52" i="2"/>
  <c r="P52" i="2" s="1"/>
  <c r="N24" i="2"/>
  <c r="O24" i="2"/>
  <c r="P24" i="2" s="1"/>
  <c r="N50" i="2"/>
  <c r="O50" i="2"/>
  <c r="P50" i="2" s="1"/>
  <c r="N26" i="2"/>
  <c r="O26" i="2"/>
  <c r="P26" i="2" s="1"/>
  <c r="O22" i="2"/>
  <c r="P22" i="2" s="1"/>
  <c r="N22" i="2"/>
  <c r="O51" i="2"/>
  <c r="P51" i="2" s="1"/>
  <c r="N51" i="2"/>
  <c r="N37" i="2"/>
  <c r="O37" i="2"/>
  <c r="P37" i="2" s="1"/>
  <c r="N36" i="2"/>
  <c r="O36" i="2"/>
  <c r="P36" i="2" s="1"/>
  <c r="O38" i="2"/>
  <c r="P38" i="2" s="1"/>
  <c r="N38" i="2"/>
  <c r="O34" i="2"/>
  <c r="P34" i="2" s="1"/>
  <c r="N34" i="2"/>
  <c r="N39" i="2"/>
  <c r="O39" i="2"/>
  <c r="P39" i="2" s="1"/>
  <c r="O19" i="2"/>
  <c r="P19" i="2" s="1"/>
  <c r="O45" i="2"/>
  <c r="P45" i="2" s="1"/>
  <c r="N45" i="2"/>
  <c r="O20" i="2"/>
  <c r="P20" i="2" s="1"/>
  <c r="N20" i="2"/>
  <c r="N43" i="2"/>
  <c r="O43" i="2"/>
  <c r="P43" i="2" s="1"/>
  <c r="O44" i="2"/>
  <c r="P44" i="2" s="1"/>
  <c r="N44" i="2"/>
  <c r="O23" i="2"/>
  <c r="P23" i="2" s="1"/>
  <c r="N23" i="2"/>
  <c r="N46" i="2"/>
  <c r="O46" i="2"/>
  <c r="P46" i="2" s="1"/>
  <c r="N48" i="2"/>
  <c r="O48" i="2"/>
  <c r="P48" i="2" s="1"/>
  <c r="N19" i="2"/>
  <c r="O47" i="2"/>
  <c r="P47" i="2" s="1"/>
  <c r="N47" i="2"/>
  <c r="N28" i="2"/>
  <c r="O28" i="2"/>
  <c r="P28" i="2" s="1"/>
  <c r="N4" i="2"/>
  <c r="O4" i="2"/>
  <c r="P4" i="2" s="1"/>
  <c r="N13" i="2"/>
  <c r="O13" i="2"/>
  <c r="P13" i="2" s="1"/>
  <c r="N105" i="2"/>
  <c r="N6" i="2"/>
  <c r="O112" i="2"/>
  <c r="P112" i="2" s="1"/>
  <c r="N2" i="2"/>
  <c r="O86" i="2"/>
  <c r="P86" i="2" s="1"/>
  <c r="O12" i="2"/>
  <c r="P12" i="2" s="1"/>
  <c r="N103" i="2"/>
  <c r="N65" i="2"/>
  <c r="N88" i="2"/>
  <c r="N109" i="2"/>
  <c r="N5" i="2"/>
  <c r="O95" i="2"/>
  <c r="P95" i="2" s="1"/>
  <c r="N66" i="2"/>
  <c r="N11" i="2"/>
  <c r="N104" i="2"/>
  <c r="N111" i="2"/>
  <c r="N110" i="2"/>
  <c r="N71" i="2"/>
  <c r="N70" i="2"/>
  <c r="N97" i="2"/>
  <c r="N92" i="2"/>
  <c r="N96" i="2"/>
  <c r="N99" i="2"/>
  <c r="N84" i="2"/>
  <c r="O15" i="2"/>
  <c r="P15" i="2" s="1"/>
  <c r="O16" i="2"/>
  <c r="P16" i="2" s="1"/>
  <c r="N14" i="2"/>
  <c r="N94" i="2"/>
  <c r="O72" i="2"/>
  <c r="P72" i="2" s="1"/>
  <c r="O90" i="2"/>
  <c r="P90" i="2" s="1"/>
  <c r="O87" i="2"/>
  <c r="P87" i="2" s="1"/>
  <c r="O83" i="2"/>
  <c r="P83" i="2" s="1"/>
  <c r="N98" i="2"/>
  <c r="N85" i="2"/>
  <c r="O89" i="2"/>
  <c r="P89" i="2" s="1"/>
  <c r="N102" i="2"/>
  <c r="N54" i="2"/>
  <c r="N81" i="2"/>
  <c r="N74" i="2"/>
  <c r="N82" i="2"/>
  <c r="N55" i="2"/>
  <c r="N10" i="2"/>
  <c r="N73" i="2"/>
  <c r="N64" i="2"/>
  <c r="O69" i="2"/>
  <c r="P69" i="2" s="1"/>
  <c r="N3" i="2"/>
  <c r="N108" i="2"/>
  <c r="N91" i="2"/>
  <c r="N68" i="2"/>
  <c r="N107" i="2"/>
  <c r="N101" i="2"/>
  <c r="N106" i="2"/>
  <c r="N100" i="2"/>
  <c r="O67" i="2"/>
  <c r="P67" i="2" s="1"/>
  <c r="N63" i="2"/>
  <c r="N79" i="2"/>
  <c r="N77" i="2"/>
  <c r="N40" i="2"/>
  <c r="O32" i="2"/>
  <c r="P32" i="2" s="1"/>
  <c r="N78" i="2"/>
  <c r="N113" i="2"/>
  <c r="N62" i="2"/>
  <c r="O59" i="2"/>
  <c r="P59" i="2" s="1"/>
  <c r="N57" i="2"/>
  <c r="N17" i="2"/>
  <c r="O93" i="2"/>
  <c r="P93" i="2" s="1"/>
  <c r="N29" i="2"/>
  <c r="N58" i="2"/>
  <c r="N80" i="2"/>
  <c r="O8" i="2"/>
  <c r="P8" i="2" s="1"/>
  <c r="N53" i="2"/>
  <c r="N9" i="2"/>
  <c r="N41" i="2"/>
  <c r="N7" i="2"/>
  <c r="N60" i="2"/>
  <c r="N61" i="2"/>
  <c r="O18" i="2"/>
  <c r="P18" i="2" s="1"/>
  <c r="L49" i="2"/>
  <c r="M49" i="2"/>
  <c r="M76" i="2"/>
  <c r="L76" i="2"/>
  <c r="N31" i="2"/>
  <c r="O27" i="2"/>
  <c r="P27" i="2" s="1"/>
  <c r="N42" i="2"/>
  <c r="O25" i="2"/>
  <c r="P25" i="2" s="1"/>
  <c r="N75" i="2"/>
  <c r="O30" i="2"/>
  <c r="P30" i="2" s="1"/>
  <c r="N56" i="2"/>
  <c r="N49" i="2" l="1"/>
  <c r="O76" i="2"/>
  <c r="P76" i="2" s="1"/>
  <c r="N76" i="2"/>
  <c r="O49" i="2"/>
  <c r="P49" i="2" s="1"/>
</calcChain>
</file>

<file path=xl/sharedStrings.xml><?xml version="1.0" encoding="utf-8"?>
<sst xmlns="http://schemas.openxmlformats.org/spreadsheetml/2006/main" count="1414" uniqueCount="398">
  <si>
    <t>Setup Parameters</t>
  </si>
  <si>
    <t>S.No</t>
  </si>
  <si>
    <t>Task description</t>
  </si>
  <si>
    <t>Phase</t>
  </si>
  <si>
    <t>Resource Name</t>
  </si>
  <si>
    <t>Planned effort</t>
  </si>
  <si>
    <t>Planned Size</t>
  </si>
  <si>
    <t>Actual effort</t>
  </si>
  <si>
    <t>ILP 
(Size / Effort)</t>
  </si>
  <si>
    <t>Goal</t>
  </si>
  <si>
    <t>Variance</t>
  </si>
  <si>
    <t>ILP Score</t>
  </si>
  <si>
    <t>Project Name</t>
  </si>
  <si>
    <t>Project Code</t>
  </si>
  <si>
    <t>Average of ILP Score</t>
  </si>
  <si>
    <t>Release / CR Name</t>
  </si>
  <si>
    <t>Size Estimate</t>
  </si>
  <si>
    <t>Release_CR_Phase_1</t>
  </si>
  <si>
    <t>Release_CR_Phase_2</t>
  </si>
  <si>
    <t>Release_CR_Phase_3</t>
  </si>
  <si>
    <t>Release_CR_Phase_4</t>
  </si>
  <si>
    <t>Release_CR_Phase_5</t>
  </si>
  <si>
    <t>Release_CR_Phase_6</t>
  </si>
  <si>
    <t>Release_CR_Phase_7</t>
  </si>
  <si>
    <t>Release_CR_Phase_8</t>
  </si>
  <si>
    <t>Release_CR_Phase_9</t>
  </si>
  <si>
    <t>Release_CR_Phase_10</t>
  </si>
  <si>
    <t>Release_1</t>
  </si>
  <si>
    <t>Release_2</t>
  </si>
  <si>
    <t>Release_3</t>
  </si>
  <si>
    <t>Release_4</t>
  </si>
  <si>
    <t>Release_5</t>
  </si>
  <si>
    <t>Release_6</t>
  </si>
  <si>
    <t>Release_7</t>
  </si>
  <si>
    <t>Release_8</t>
  </si>
  <si>
    <t>Release_9</t>
  </si>
  <si>
    <t>Release_10</t>
  </si>
  <si>
    <t>Release Ref</t>
  </si>
  <si>
    <t>Release + Phase</t>
  </si>
  <si>
    <t>Release</t>
  </si>
  <si>
    <t>Size</t>
  </si>
  <si>
    <t>Effort</t>
  </si>
  <si>
    <t>Month</t>
  </si>
  <si>
    <t>Rel + Phase</t>
  </si>
  <si>
    <t>Size Split</t>
  </si>
  <si>
    <t>Effort (PH)</t>
  </si>
  <si>
    <t>Effort Distribution (%)</t>
  </si>
  <si>
    <t>Analysis</t>
  </si>
  <si>
    <t>Testing</t>
  </si>
  <si>
    <t>Status</t>
  </si>
  <si>
    <t>Implementation</t>
  </si>
  <si>
    <t>Test case creation</t>
  </si>
  <si>
    <t>Test execution</t>
  </si>
  <si>
    <t>PM Name</t>
  </si>
  <si>
    <t>Provide the task details in the white colour cells</t>
  </si>
  <si>
    <t>Planned effort will show in RED colour, if the sum of release / phase effort is not matching with the setup parameter sheet</t>
  </si>
  <si>
    <t>Based on the planned effort, the size is apportioned against each resources</t>
  </si>
  <si>
    <t>Note - if a task is planned for multiple months, then divide the same on monthly basis and provide the planned effort accordingly</t>
  </si>
  <si>
    <t>ILP is calcualted based on the size and effort</t>
  </si>
  <si>
    <t>ILP score is calculated based on the variance against the goal</t>
  </si>
  <si>
    <t>Setup Parameters:-</t>
  </si>
  <si>
    <t>Data collection:-</t>
  </si>
  <si>
    <t>Data will get auto refreshed based on the data entered in Data collection sheet</t>
  </si>
  <si>
    <t>Dashboard:-</t>
  </si>
  <si>
    <t>Guideline</t>
  </si>
  <si>
    <t>Productivity and ILP score chart view has been provided based on month, Release / CR, Phase, Resource</t>
  </si>
  <si>
    <t>ILP Goal</t>
  </si>
  <si>
    <t>Provide project related information such as project name, project code and PM details</t>
  </si>
  <si>
    <t>Select Task / Phase based on the LC type of the release or CR.</t>
  </si>
  <si>
    <t>Based on the project LCs, if there are multiple releases, provide details of each releases seperately .</t>
  </si>
  <si>
    <t xml:space="preserve">In Case if the release / CR is a task based, enter the high level task names and provide the size unit and productivity for each of these task. </t>
  </si>
  <si>
    <t>If phase based, provide the overall size and productivity and phase wise effort distribution for each of the listed phases (refer Org. Phase wise effort split). Ensure sum of phase effort split is 100%</t>
  </si>
  <si>
    <t>Org. Baseline Values for reference</t>
  </si>
  <si>
    <t>SW Development</t>
  </si>
  <si>
    <t>HM</t>
  </si>
  <si>
    <t>NON HM</t>
  </si>
  <si>
    <t>Productivity 
(CP/PH)</t>
  </si>
  <si>
    <t>Requirement</t>
  </si>
  <si>
    <t>Design</t>
  </si>
  <si>
    <t>Coding</t>
  </si>
  <si>
    <t>TBD</t>
  </si>
  <si>
    <t>SW Maintenance</t>
  </si>
  <si>
    <t>SW Testing</t>
  </si>
  <si>
    <t>Test requirement</t>
  </si>
  <si>
    <t>Test planning</t>
  </si>
  <si>
    <t>Test design</t>
  </si>
  <si>
    <t>Test reporting</t>
  </si>
  <si>
    <t>N/A</t>
  </si>
  <si>
    <t>HW Development</t>
  </si>
  <si>
    <t>HW Requirements</t>
  </si>
  <si>
    <t>HW Architecture</t>
  </si>
  <si>
    <t>HW Schematics</t>
  </si>
  <si>
    <t>HW Layout</t>
  </si>
  <si>
    <t>HW Testing</t>
  </si>
  <si>
    <t>VLSI Design</t>
  </si>
  <si>
    <t>VLSI Design Req.</t>
  </si>
  <si>
    <t>Design Documentation</t>
  </si>
  <si>
    <t>RTL coding</t>
  </si>
  <si>
    <t>Synthesis P &amp; R</t>
  </si>
  <si>
    <t xml:space="preserve">Productivity 
(CP/PH) </t>
  </si>
  <si>
    <t>VLSI Verification</t>
  </si>
  <si>
    <t>VLSI Verification Req.</t>
  </si>
  <si>
    <t>Test Design</t>
  </si>
  <si>
    <t>Test Coding</t>
  </si>
  <si>
    <t>Blueprint-Transition</t>
  </si>
  <si>
    <t>Blueprint-Initiate</t>
  </si>
  <si>
    <t>Blueprint-Design</t>
  </si>
  <si>
    <t>Realization-Transition</t>
  </si>
  <si>
    <t>Realization-Develop</t>
  </si>
  <si>
    <t>Realization-Validation</t>
  </si>
  <si>
    <t>Realization-Rollout</t>
  </si>
  <si>
    <t>Realization-Transfer</t>
  </si>
  <si>
    <t>PLM</t>
  </si>
  <si>
    <t>S. No.</t>
  </si>
  <si>
    <t>Name</t>
  </si>
  <si>
    <t>Employee Code</t>
  </si>
  <si>
    <t>Life cycle</t>
  </si>
  <si>
    <t>SW Dev / Enh</t>
  </si>
  <si>
    <t>SW Regression Testing</t>
  </si>
  <si>
    <t>SW Agile</t>
  </si>
  <si>
    <t>VLSI Development</t>
  </si>
  <si>
    <t>Mechnical Design</t>
  </si>
  <si>
    <t>Mechnical Analysis</t>
  </si>
  <si>
    <t>Mechnical Tech Pub</t>
  </si>
  <si>
    <t>Mechnical ECO &amp; Legacy Conversion</t>
  </si>
  <si>
    <t>Mechnical Reverse Engineering</t>
  </si>
  <si>
    <t>Mechnical Reliability</t>
  </si>
  <si>
    <t>Mechnical VAVE</t>
  </si>
  <si>
    <t>PLM Implementation</t>
  </si>
  <si>
    <t>Production Support</t>
  </si>
  <si>
    <t>LifeCycle</t>
  </si>
  <si>
    <t>Available Effort</t>
  </si>
  <si>
    <t>Row Labels</t>
  </si>
  <si>
    <t>Sum of Actual effort</t>
  </si>
  <si>
    <t xml:space="preserve">Average of ILP </t>
  </si>
  <si>
    <t>Average of ILP Goal</t>
  </si>
  <si>
    <t>Dashboard</t>
  </si>
  <si>
    <t>Total</t>
  </si>
  <si>
    <t>Code development</t>
  </si>
  <si>
    <t>Test case review</t>
  </si>
  <si>
    <t>Manual testing</t>
  </si>
  <si>
    <t>Automation testing</t>
  </si>
  <si>
    <t>Sprint demo</t>
  </si>
  <si>
    <t>Sprint rework</t>
  </si>
  <si>
    <t>Resolving impediments</t>
  </si>
  <si>
    <t>Others (such as -Analysis, Design, CI)</t>
  </si>
  <si>
    <t xml:space="preserve">Productivity 
(SP/PH) </t>
  </si>
  <si>
    <t>Remediation</t>
  </si>
  <si>
    <t>Sustenance</t>
  </si>
  <si>
    <t>KPI</t>
  </si>
  <si>
    <t>Value</t>
  </si>
  <si>
    <t>ILP</t>
  </si>
  <si>
    <t>EMPID</t>
  </si>
  <si>
    <t>Date</t>
  </si>
  <si>
    <t>Goal.</t>
  </si>
  <si>
    <t>ILP.</t>
  </si>
  <si>
    <t>Work Type</t>
  </si>
  <si>
    <t>Phase / Task Name</t>
  </si>
  <si>
    <t>Others</t>
  </si>
  <si>
    <t>Values</t>
  </si>
  <si>
    <t>PCI Applicability</t>
  </si>
  <si>
    <t>Average of Actual effort</t>
  </si>
  <si>
    <t>Sum of Planned effort</t>
  </si>
  <si>
    <t>Phase based</t>
  </si>
  <si>
    <t>Category</t>
  </si>
  <si>
    <t>Resource wise - Planned vs Actual</t>
  </si>
  <si>
    <t>Planned Hours</t>
  </si>
  <si>
    <t>Actual Hours</t>
  </si>
  <si>
    <t>Grand Total</t>
  </si>
  <si>
    <t>Yes</t>
  </si>
  <si>
    <t>Sudhakar Sumaithangi</t>
  </si>
  <si>
    <t>Giridhar</t>
  </si>
  <si>
    <t>Sankar Rajaraman</t>
  </si>
  <si>
    <t>Kaushik C</t>
  </si>
  <si>
    <t>Palraj A</t>
  </si>
  <si>
    <t>Vasudev A</t>
  </si>
  <si>
    <t>Kumanan</t>
  </si>
  <si>
    <t>Mohamed Idris P</t>
  </si>
  <si>
    <t>Thangamani S</t>
  </si>
  <si>
    <t>Sudhakar B</t>
  </si>
  <si>
    <t>Yogesh R</t>
  </si>
  <si>
    <t>Karthikeyan Shanmugam</t>
  </si>
  <si>
    <t>Navyasree C</t>
  </si>
  <si>
    <t>G Ramalinngam</t>
  </si>
  <si>
    <t>Nilesh Kumar</t>
  </si>
  <si>
    <t>Sriharish Ramesh</t>
  </si>
  <si>
    <t>Srividhya R</t>
  </si>
  <si>
    <t>Sangilimurugan</t>
  </si>
  <si>
    <t>Diwakar S</t>
  </si>
  <si>
    <t>T Lakshmi Priya</t>
  </si>
  <si>
    <t>Deepak nair</t>
  </si>
  <si>
    <t>S Balaji</t>
  </si>
  <si>
    <t>Prashant S</t>
  </si>
  <si>
    <t>Prasannakumar Reddy Y</t>
  </si>
  <si>
    <t>Venkatesh P</t>
  </si>
  <si>
    <t>Sreekanth Grandhi</t>
  </si>
  <si>
    <t>Puneet S</t>
  </si>
  <si>
    <t>Raj Hans</t>
  </si>
  <si>
    <t>Padachala Mohan</t>
  </si>
  <si>
    <t>Itisree</t>
  </si>
  <si>
    <t>Sprint Management</t>
  </si>
  <si>
    <t>Sprint Support</t>
  </si>
  <si>
    <t>Coding and Unit testing</t>
  </si>
  <si>
    <t>Completed</t>
  </si>
  <si>
    <t>Testcase Review</t>
  </si>
  <si>
    <t>Testcase Creation</t>
  </si>
  <si>
    <t>Resolving Defects and Rework</t>
  </si>
  <si>
    <t>Develop required service to retrieve data from DA layer</t>
  </si>
  <si>
    <t>File Upload UI</t>
  </si>
  <si>
    <t>UI to search specific node - first level search</t>
  </si>
  <si>
    <t>UI grid to display node search result</t>
  </si>
  <si>
    <t>UI Grid for presenting the response data</t>
  </si>
  <si>
    <t>UI Changes for multi select</t>
  </si>
  <si>
    <t>UI to plot sankey</t>
  </si>
  <si>
    <t xml:space="preserve">Zoom in / out for sankey </t>
  </si>
  <si>
    <t>Traceability for multi select</t>
  </si>
  <si>
    <t>UI changes to Hide nodes in between existing sankey for proper view</t>
  </si>
  <si>
    <t>Swapping TIRL and TC</t>
  </si>
  <si>
    <t>UI changes for finding concurrent and compatiple TR's</t>
  </si>
  <si>
    <t>UI To display parent child relation</t>
  </si>
  <si>
    <t>Identify the changes required to convert FTCS TIRL interface from SQOOP based interface to file based interface</t>
  </si>
  <si>
    <t>FTCS TIRL conversion from SQOOP based interface to File based interface</t>
  </si>
  <si>
    <t>Convert Excel file to CSV(Should support both xls format and xlsx format)</t>
  </si>
  <si>
    <t>Execute test cases for AETP WSRD,AETP OPT</t>
  </si>
  <si>
    <t>Execute test cases for FTCS FTP, FTCS TIRL</t>
  </si>
  <si>
    <t>Execute test cases for TPERT TCM, DOORS</t>
  </si>
  <si>
    <t>Execute test cases for Neo4J module</t>
  </si>
  <si>
    <t>Prepare and execute testcases for AETP WSRD interface</t>
  </si>
  <si>
    <t>Prepare and execute testcases for DOORS interface</t>
  </si>
  <si>
    <t>Prepare and execute testcases for AETP OPT interface</t>
  </si>
  <si>
    <t>Prepare and execute testcases for FTCS FTP interface</t>
  </si>
  <si>
    <t>TEAM</t>
  </si>
  <si>
    <t>Shared</t>
  </si>
  <si>
    <t>Sprint Review and Rework</t>
  </si>
  <si>
    <t>Resolving Issues and Rework</t>
  </si>
  <si>
    <t>Sprint Support Activities</t>
  </si>
  <si>
    <t>Sprint Management Activities</t>
  </si>
  <si>
    <t>Hareendran M</t>
  </si>
  <si>
    <t xml:space="preserve">Mamtha Achu Cella Dharanipathy  </t>
  </si>
  <si>
    <t xml:space="preserve">Sivanarendhar Sriraja  </t>
  </si>
  <si>
    <t xml:space="preserve">Jagadeesh Bokam  </t>
  </si>
  <si>
    <t xml:space="preserve">R. Silambarasu  </t>
  </si>
  <si>
    <t xml:space="preserve">Pramod Marathu  </t>
  </si>
  <si>
    <t xml:space="preserve">SREEBANRAJ RAMASAMY  </t>
  </si>
  <si>
    <t xml:space="preserve">Pradeepa Jothiramalingam  </t>
  </si>
  <si>
    <t xml:space="preserve">Gomasani Srinivasulu  </t>
  </si>
  <si>
    <t xml:space="preserve">SURESH KUMAR SANGINEEDI  </t>
  </si>
  <si>
    <t xml:space="preserve">Sundara Sibi .M D  </t>
  </si>
  <si>
    <t xml:space="preserve">Mariyappa Velu  </t>
  </si>
  <si>
    <t xml:space="preserve">Tapashi Kalita Lahkar  </t>
  </si>
  <si>
    <t xml:space="preserve">Shanmugapriya Karthik  </t>
  </si>
  <si>
    <t xml:space="preserve">JEYAPRABU MAHALINGAM  </t>
  </si>
  <si>
    <t xml:space="preserve">Siva Rama Kiran Battula  </t>
  </si>
  <si>
    <t xml:space="preserve">PARTHASARATHY MUTHUSAMY SHANMUGAM  </t>
  </si>
  <si>
    <t xml:space="preserve">Chandrasekar Mariappan  </t>
  </si>
  <si>
    <t xml:space="preserve">Jaiganesh Devarajulu  </t>
  </si>
  <si>
    <t>Kumar</t>
  </si>
  <si>
    <t>Pranav</t>
  </si>
  <si>
    <t>ATLAS</t>
  </si>
  <si>
    <t>TAF</t>
  </si>
  <si>
    <t>Use case</t>
  </si>
  <si>
    <t>JFM19_Jan_Sprint</t>
  </si>
  <si>
    <t>FR-G-022-US-01: As an user, I should be able to save an exisiting use case into another use case  so that I can execute the same use cases with different input parameters</t>
  </si>
  <si>
    <t>FR-G-026-US-01: As a user, I want to be able to give star rating to use cases that I use, based on usefulness, so that it can guide others downloading the use case [Priority has been increased from 4 as the senior management wanted to have this feature]</t>
  </si>
  <si>
    <t>FR-S-005-US-01: As a user, I want to view and download related nodes of a use case to my studio, so that I can use them to create use cases</t>
  </si>
  <si>
    <t>NFR-U-14: As an user, I want access to training videos for critical features, so that dependencies and time for training is minimized</t>
  </si>
  <si>
    <t>NFR-SE-05: As a user with admin rights, I should be allowed to create or delete projects. Other users should not be allowed to delete projects.</t>
  </si>
  <si>
    <t>FR-CM-005-US-03a: As a user, I should have the option of search based on 
highest rated, 
so that I get the ones of my interest as first ones in the list [Ratings can include attributes like feedback from others, productivity improvements it has brought to the teams)</t>
  </si>
  <si>
    <t>: UI based Installer for Single Kit</t>
  </si>
  <si>
    <t>: o Provide a 1 week usage license by default for ATLAS WB. Allow license request/download through UI as far as possible</t>
  </si>
  <si>
    <t>: Nodes count display   for Node group in Studio</t>
  </si>
  <si>
    <t>: Allowing subfolders and nodes  under a folder in Studio</t>
  </si>
  <si>
    <t>: User Management in ATLAS Workbench</t>
  </si>
  <si>
    <t>Sreedhar Ranganadham</t>
  </si>
  <si>
    <t>Veeraganesh Velugula</t>
  </si>
  <si>
    <t xml:space="preserve">Chakka Sivaparvathi </t>
  </si>
  <si>
    <t>Bhavani Sreedhara</t>
  </si>
  <si>
    <t xml:space="preserve">Gnanaprasanna Repakula </t>
  </si>
  <si>
    <t>Saida Reddy Kathi</t>
  </si>
  <si>
    <t>ATLAS WB: Support importing for Node with libraries to/from Node strore</t>
  </si>
  <si>
    <t>ATLAS Central: Support importing for Node with libraries to/from Node strore</t>
  </si>
  <si>
    <t>FR-S-005-US-01-1 Central Support: As a user, I want to view and download related nodes of a use case to my studio, so that I can use them to create use cases</t>
  </si>
  <si>
    <t>JFM_Feb_Sprint</t>
  </si>
  <si>
    <t>O120004</t>
  </si>
  <si>
    <t>JFM19_Jan_Sprint_Sprint Management</t>
  </si>
  <si>
    <t>JFM19_Jan_Sprint_Sprint Support</t>
  </si>
  <si>
    <t>JFM19_Jan_Sprint_Code development</t>
  </si>
  <si>
    <t>JFM19_Jan_Sprint_Test case creation</t>
  </si>
  <si>
    <t>JFM19_Jan_Sprint_Test case review</t>
  </si>
  <si>
    <t>JFM19_Jan_Sprint_Manual testing</t>
  </si>
  <si>
    <t>JFM19_Jan_Sprint_Automation testing</t>
  </si>
  <si>
    <t>JFM19_Jan_Sprint_Sprint rework</t>
  </si>
  <si>
    <t>JFM19_Jan_Sprint_Sprint demo</t>
  </si>
  <si>
    <t>JFM19_Jan_Sprint_Resolving impediments</t>
  </si>
  <si>
    <t>JFM19_Jan_Sprint_Others (such as -Analysis, Design, CI)</t>
  </si>
  <si>
    <t>JFM19_Jan_Sprint_Sprint Management Activities</t>
  </si>
  <si>
    <t>JFM19_Jan_Sprint_Sprint Support Activities</t>
  </si>
  <si>
    <t>JFM_Feb_Sprint_Sprint Management</t>
  </si>
  <si>
    <t>JFM_Feb_Sprint_Sprint Support</t>
  </si>
  <si>
    <t>JFM_Feb_Sprint_Code development</t>
  </si>
  <si>
    <t>JFM_Feb_Sprint_Test case creation</t>
  </si>
  <si>
    <t>JFM_Feb_Sprint_Test case review</t>
  </si>
  <si>
    <t>JFM_Feb_Sprint_Manual testing</t>
  </si>
  <si>
    <t>JFM_Feb_Sprint_Automation testing</t>
  </si>
  <si>
    <t>JFM_Feb_Sprint_Sprint Review and Rework</t>
  </si>
  <si>
    <t>JFM_Feb_Sprint_Sprint demo</t>
  </si>
  <si>
    <t>JFM_Feb_Sprint_Resolving impediments</t>
  </si>
  <si>
    <t>JFM_Feb_Sprint_Others (such as -Analysis, Design, CI)</t>
  </si>
  <si>
    <t>JFM_Feb_Sprint_Sprint Management Activities</t>
  </si>
  <si>
    <t>JFM_Feb_Sprint_Sprint Support Activities</t>
  </si>
  <si>
    <t>Email Id</t>
  </si>
  <si>
    <t xml:space="preserve">team size: </t>
  </si>
  <si>
    <t>Team size</t>
  </si>
  <si>
    <t>Jan</t>
  </si>
  <si>
    <t>Jan Sprint test case creation</t>
  </si>
  <si>
    <t>Harshitha Pinnapareddy</t>
  </si>
  <si>
    <t>harshitha_p@hcl.com</t>
  </si>
  <si>
    <t>Test Creation ATLAS TAF feature</t>
  </si>
  <si>
    <t>ATLAS 070 QA Testing - TAF services</t>
  </si>
  <si>
    <t>Daily build creation</t>
  </si>
  <si>
    <t>Prepare integrated dev environment</t>
  </si>
  <si>
    <t>Bug-5563-Apache POI.Fetching Content enclosed  in Delimiters from Word(Docx). SVN : 33728</t>
  </si>
  <si>
    <t>Bug-5564-Apache POI. Find and Replace content across word document(DOCX), with font customization.</t>
  </si>
  <si>
    <t>Bug-5565-Apache POI. Find Comments across word document(DOCX) and return Comments with Author and its text.</t>
  </si>
  <si>
    <t>Bug-5569-find and replace content across word: As per info, path which is showing in result is incorrect</t>
  </si>
  <si>
    <t>Bug-5537-Extract Content Enclosed In Delimiters From Word: Node name should be in small letters.</t>
  </si>
  <si>
    <t>Bug-5495-Atlas-&gt;Login with valid credentials-&gt;Import the View Workpackage-&gt;Alignment is not correct after exceuting the Usecase.</t>
  </si>
  <si>
    <t>Bug-5496-Atlas-&gt;Login with valid credentials-&gt;Import the Viewworkpackage-&gt;Export functionality is not working</t>
  </si>
  <si>
    <t>Bug-5248-ATLAS Node --&gt; Insert Image in word POI --&gt; Node while executing as per Test Steps mentioned giving run-time error</t>
  </si>
  <si>
    <t>Bug-5253-Atlas Framework --&gt; ISE--&gt; File Upload page--&gt; Trying to run Defect Indexing Model-&gt; Getting alert as cannot found some path</t>
  </si>
  <si>
    <t>Bug-5254-Atlas Framework --&gt; ISE--&gt; File Upload page--&gt; Trying to run Defect Indexing Model-&gt; Getting alert as cannot found some path</t>
  </si>
  <si>
    <t>Bug-5427-ATLAS Single Kit Installation Guide_Why user being told to install 1.8.60 version, I already have higher version, also it is written that user should uninstall any other version</t>
  </si>
  <si>
    <t>Bug-5438-Start-Atlas-components_Running â€œTaskkill /F /IM python.exe /Tâ€ how can it kill all python process on user machine without informing about this, UAT fails at this point.</t>
  </si>
  <si>
    <t>Bug-5449-Providing DevTest/AtlasCentral/TAF login credentials instead of specifying the contact person details.</t>
  </si>
  <si>
    <t>Bug-5453-Able to open Atlas at http://localhost:8085/AtlasWorkbench but do not have LDAP access. Again no information on default username and password</t>
  </si>
  <si>
    <t>Bug-5481-ATLAS Use Case --&gt; "Feature Stability by Heat maps" --&gt; FR-OB-009-US-02-TC03 --&gt; Use case this test case is getting failed.</t>
  </si>
  <si>
    <t>Bug-5506-Autosignin  of TAF from Atlas Framework is happening, it is showing error message as "Exception in createUserForTafError: Error running instance method"</t>
  </si>
  <si>
    <t>Bug-5600-Comparison Viewer Use case -&gt; Pages -&gt; After completion of Comparing two pdf. -&gt; select File option -&gt; select checkbox on "Show diff" -&gt; automatically pages uploaded details display in the files option page.</t>
  </si>
  <si>
    <t>Bug-5434-Installing PostgreSQL_20 GB for extracting the kit, whereas extracted size is less than 2 GB</t>
  </si>
  <si>
    <t>Bug-5436-Start-Atlas-components_ES is stuck at changing cluster status from red to yellow</t>
  </si>
  <si>
    <t>Bug-5439-ATLAS TC --&gt; CHTJ-TC01 --&gt; Node name mentioned in test steps does not exist in palette. Also the search keyword mentioned is incorrect</t>
  </si>
  <si>
    <t>Bug-5444-ATLAS Node --&gt; Insert image in word poi --&gt; Not giving expected output as mentioned in TC expected results</t>
  </si>
  <si>
    <t>Bug-5454-ATLAS TC --&gt; CHTJ-TC03 --&gt; Test steps mentioned under TC ID is not clear, not providing complete TC sceario</t>
  </si>
  <si>
    <t>Bug-5457-Missing Files, Binaries and Documents for PMML Node and Use Cases Verification</t>
  </si>
  <si>
    <t>Bug-5460-FAQ document not updated, mentioned incorrect path for issue 'Run time guid not valid'</t>
  </si>
  <si>
    <t>Bug-5469-Atlas TestCase--&gt;FR-S-007-US-01-TC001 --&gt; Testcase expected Result mentioned are incorrect.</t>
  </si>
  <si>
    <t>Bug-5472-Atlas login-&gt;Atlas Framework-&gt;Atlas studio-&gt;End separate process-&gt;Not capturing metrics information</t>
  </si>
  <si>
    <t>Bug-5473-Atlas Testcase --&gt; FR-CM-010-US-03-TC004 -&gt;Edit project details in node instance details table--&gt; Unable to execute with the Information Provided.</t>
  </si>
  <si>
    <t>Bug-5475-ATLAS Node --&gt; "extract images from excel" --&gt; Node not extracting image and saving it, as per description</t>
  </si>
  <si>
    <t>Bug-5478-Atlas Testcase --&gt; FR-E-001-US-01-TC01,FR-E-001-US-01-TC02 -&gt; Failing -&gt; able to login into ATLAS with expired license.</t>
  </si>
  <si>
    <t>Bug-5489-ATLAS Node --&gt; "validate-json-record" --&gt; Node not verifying the JSON record as per mentioned validation</t>
  </si>
  <si>
    <t>Bug-5491-login --&gt; edit any usecase --&gt; edit profile config node --&gt; node not editable (FR-G-029-US-02-TC03)</t>
  </si>
  <si>
    <t>Bug-5492-Steps mentioned for FR-CM-001-US-05-TC02 test case suggested to send mail but no such option is visible on UI</t>
  </si>
  <si>
    <t>Bug-5493-Import usecase 'View Workpackage report' --&gt; execute it --&gt; click on any ID  --&gt; shows Error (FR-OB-001-US-09-TC04)</t>
  </si>
  <si>
    <t>Bug-5494-Atlas Node-&gt;Set node is missing from the pallete it was introduced in Beta 1</t>
  </si>
  <si>
    <t>Bug-5498-ATLAS UseCase--&gt; ISE Related Usecase--&gt; Not referring to any specific project name, bringing all project data, irrespective to project selected.</t>
  </si>
  <si>
    <t>Bug-5502-Atlas Testcase--&gt;FR-S-009-US-02-TC01 --&gt;Failed--&gt; When importing node without tag name through ATLAS framework-&gt; Not showing alert</t>
  </si>
  <si>
    <t>Bug-5504-Atlas Testcase-&gt;FR-CM-004-US-04-TC05-&gt;Asking us to delete the node-&gt; This functionaliy is removed in latest UAT build.</t>
  </si>
  <si>
    <t>Bug-5505-ATLAS --&gt; NFR-M-08a-TC004 --&gt; Test steps mentioned against Test case, are not valid. There is no update related content in User-guide.</t>
  </si>
  <si>
    <t>Bug-5507-Atlas UI :System flows usecase should not show in search list</t>
  </si>
  <si>
    <t>Bug-5517-not able to login into ISE from Functional Area with guest user</t>
  </si>
  <si>
    <t>Bug-5389-Email triggered with wrong status &amp; result for test execution 1 job. Thou test execution completed with passed status, still wrong details display.</t>
  </si>
  <si>
    <t>Bug-5428-ATLAS Single Kit Installation Guide_Anyways the link Java Development Kit (JDK 1.8.60), on clicking takes user to 1.8.191, looks like this document has not been verified</t>
  </si>
  <si>
    <t>Bug-5432-Installing PostgreSQL_ Why â€œOutlook Configurationâ€ is given as software requirement, is â€œOutlook Clientâ€ a software requirement, or is its configuration</t>
  </si>
  <si>
    <t>Bug-5435-Installing PostgreSQL_user has to open path variable and add Jacob path there, we should do it in an automated way</t>
  </si>
  <si>
    <t>Bug-5437-Start-Atlas-components_Mongo DB connector scripts seems to point to a location that does not exist</t>
  </si>
  <si>
    <t>Bug-5443-Atlas Work Bench-&gt;Notification for the Use case End and Completed should be same across application</t>
  </si>
  <si>
    <t>Bug-5445-Run startAsDebug.bat in AtlasFramework folder_For license user has to send a lot of information to Atlas support team but there is no alias</t>
  </si>
  <si>
    <t>Bug-5455-FR-G-009-US-03-TC02: Test case is not correct Expected result is not written correctly</t>
  </si>
  <si>
    <t>Bug-5456-NFR-D-03-TC01: Incomplete information in the testcase</t>
  </si>
  <si>
    <t>Bug-5466-Atlas Studio-&gt; Entity Cluster node does not have correct collection info in the info section.</t>
  </si>
  <si>
    <t>Bug-5482-Steps mentioned for AT_TC_088 test case is not understandable , what node needs to be picked up is not clear in test steps</t>
  </si>
  <si>
    <t>Bug-5483-Steps mentioned for AT_TC_114 test case is not understandable , what is runtime is not clear in test steps</t>
  </si>
  <si>
    <t>Bug-5490-Steps mentioned for AT_TC_160 test case is not understandable , what is recorder node , I can not find any such node in Atlas</t>
  </si>
  <si>
    <t>Bug-5503-Atlas Testcase--&gt; FR-S-009-US-01-TC02 -&gt; Not correct info mentioned in description. --&gt; Correct description should be--&gt;Upload required node as .zip file</t>
  </si>
  <si>
    <t>Bug-5514-Scroll bar is disappearing in Use case level history screen if we go to work log screen and come back</t>
  </si>
  <si>
    <t>Bug-5535-ATLAS Node --&gt; Insert table in word poi --&gt; Node inserting table at defined position, but not replacing the given word.</t>
  </si>
  <si>
    <t>Bug-5545-Atlas Framework -&gt;Atlas Studio-&gt; Guest user "email notification" does not contain Executed by data and shows "undefined" in the executed by field in the notification mail send.</t>
  </si>
  <si>
    <t>Bug-5425-ATLAS Single Kit Installation Guide_Page 2 &amp; 4 are empty, needs to be fixed</t>
  </si>
  <si>
    <t>Bug-5426-ATLAS Single Kit Installation Guide_Minimum disk size is 100 GB (any specific reason?), I have less than that will it not work</t>
  </si>
  <si>
    <t>Bug-5429-installing PostgreSQL_Appendix only has SVN location but no web link, it should be provided</t>
  </si>
  <si>
    <t>Bug-5433-Installing PostgreSQL_0.6 help document points to wrong url which contains Beta2 kit. Needs to update.</t>
  </si>
  <si>
    <t>Kirankumar Kalisetti</t>
  </si>
  <si>
    <t>ISE</t>
  </si>
  <si>
    <t>Nagul Shaik</t>
  </si>
  <si>
    <t>Node/Use case</t>
  </si>
  <si>
    <t>Durga Prasad</t>
  </si>
  <si>
    <t>ISE,Node/Usecase</t>
  </si>
  <si>
    <t>Suresh Hari</t>
  </si>
  <si>
    <t>Use case development</t>
  </si>
  <si>
    <t>Use case documentation</t>
  </si>
  <si>
    <t>(blank)</t>
  </si>
  <si>
    <t>Sprint Abalysis</t>
  </si>
  <si>
    <t>Demo Setup</t>
  </si>
  <si>
    <t>Deployment support</t>
  </si>
  <si>
    <t>MWC support</t>
  </si>
  <si>
    <t>Test use case creation</t>
  </si>
  <si>
    <t>ATLAS 070 QA Testing - Use case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</si>
</sst>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alibri"/>
      <family val="2"/>
      <scheme val="minor"/>
    </font>
    <font>
      <sz val="12"/>
      <color theme="1"/>
      <name val="Calibri"/>
      <family val="2"/>
      <scheme val="minor"/>
    </font>
    <font>
      <sz val="11"/>
      <color theme="0"/>
      <name val="Calibri"/>
      <family val="2"/>
      <scheme val="minor"/>
    </font>
    <font>
      <sz val="12"/>
      <color theme="4"/>
      <name val="Calibri"/>
      <family val="2"/>
      <scheme val="minor"/>
    </font>
    <font>
      <b/>
      <sz val="12"/>
      <color theme="1"/>
      <name val="Calibri"/>
      <family val="2"/>
      <scheme val="minor"/>
    </font>
    <font>
      <b/>
      <sz val="11"/>
      <color theme="1"/>
      <name val="Calibri"/>
      <family val="2"/>
      <scheme val="minor"/>
    </font>
    <font>
      <b/>
      <sz val="14"/>
      <color theme="0"/>
      <name val="Calibri"/>
      <family val="2"/>
      <scheme val="minor"/>
    </font>
    <font>
      <b/>
      <sz val="16"/>
      <color theme="0"/>
      <name val="Calibri"/>
      <family val="2"/>
      <scheme val="minor"/>
    </font>
    <font>
      <b/>
      <sz val="11"/>
      <color rgb="FF000000"/>
      <name val="Calibri"/>
      <family val="2"/>
    </font>
    <font>
      <sz val="11"/>
      <color rgb="FF000000"/>
      <name val="Calibri"/>
      <family val="2"/>
    </font>
    <font>
      <b/>
      <sz val="11"/>
      <color theme="0"/>
      <name val="Calibri"/>
      <family val="2"/>
      <scheme val="minor"/>
    </font>
    <font>
      <sz val="12"/>
      <color theme="0"/>
      <name val="Calibri"/>
      <family val="2"/>
      <scheme val="minor"/>
    </font>
    <font>
      <sz val="11"/>
      <color rgb="FFFF0000"/>
      <name val="Calibri"/>
      <family val="2"/>
      <scheme val="minor"/>
    </font>
    <font>
      <sz val="11"/>
      <name val="Calibri"/>
      <family val="2"/>
      <scheme val="minor"/>
    </font>
    <font>
      <sz val="11"/>
      <color theme="1"/>
      <name val="Calibri"/>
      <family val="2"/>
      <scheme val="minor"/>
    </font>
    <font>
      <sz val="12"/>
      <name val="Calibri"/>
      <family val="2"/>
      <scheme val="minor"/>
    </font>
    <font>
      <sz val="8"/>
      <color rgb="FF000000"/>
      <name val="Verdana"/>
      <family val="2"/>
    </font>
    <font>
      <u/>
      <sz val="11"/>
      <color theme="10"/>
      <name val="Calibri"/>
      <family val="2"/>
      <scheme val="minor"/>
    </font>
  </fonts>
  <fills count="9">
    <fill>
      <patternFill patternType="none"/>
    </fill>
    <fill>
      <patternFill patternType="gray125"/>
    </fill>
    <fill>
      <patternFill patternType="solid">
        <fgColor theme="4"/>
        <bgColor indexed="64"/>
      </patternFill>
    </fill>
    <fill>
      <patternFill patternType="solid">
        <fgColor theme="0"/>
        <bgColor indexed="64"/>
      </patternFill>
    </fill>
    <fill>
      <patternFill patternType="solid">
        <fgColor rgb="FFFFFFFF"/>
        <bgColor indexed="64"/>
      </patternFill>
    </fill>
    <fill>
      <patternFill patternType="solid">
        <fgColor theme="4" tint="0.59999389629810485"/>
        <bgColor indexed="64"/>
      </patternFill>
    </fill>
    <fill>
      <patternFill patternType="solid">
        <fgColor theme="4" tint="-0.249977111117893"/>
        <bgColor indexed="64"/>
      </patternFill>
    </fill>
    <fill>
      <patternFill patternType="lightTrellis">
        <fgColor theme="4"/>
        <bgColor theme="4" tint="0.59996337778862885"/>
      </patternFill>
    </fill>
    <fill>
      <patternFill patternType="solid">
        <fgColor theme="8"/>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s>
  <cellStyleXfs count="3">
    <xf numFmtId="0" fontId="0" fillId="0" borderId="0"/>
    <xf numFmtId="9" fontId="14" fillId="0" borderId="0" applyFont="0" applyFill="0" applyBorder="0" applyAlignment="0" applyProtection="0"/>
    <xf numFmtId="0" fontId="17" fillId="0" borderId="0" applyNumberFormat="0" applyFill="0" applyBorder="0" applyAlignment="0" applyProtection="0"/>
  </cellStyleXfs>
  <cellXfs count="196">
    <xf numFmtId="0" fontId="0" fillId="0" borderId="0" xfId="0"/>
    <xf numFmtId="0" fontId="0" fillId="0" borderId="0" xfId="0" applyAlignment="1">
      <alignment horizontal="left" vertical="top"/>
    </xf>
    <xf numFmtId="0" fontId="0" fillId="0" borderId="1" xfId="0" applyBorder="1" applyAlignment="1">
      <alignment horizontal="left" vertical="top"/>
    </xf>
    <xf numFmtId="0" fontId="0" fillId="0" borderId="1" xfId="0" applyBorder="1" applyAlignment="1">
      <alignment horizontal="center" vertical="center"/>
    </xf>
    <xf numFmtId="2" fontId="0" fillId="0" borderId="1" xfId="0" applyNumberFormat="1" applyBorder="1" applyAlignment="1">
      <alignment horizontal="center" vertical="center"/>
    </xf>
    <xf numFmtId="0" fontId="0" fillId="0" borderId="16" xfId="0" applyBorder="1" applyAlignment="1">
      <alignment horizontal="left" vertical="top"/>
    </xf>
    <xf numFmtId="0" fontId="0" fillId="0" borderId="0" xfId="0" applyBorder="1" applyAlignment="1">
      <alignment horizontal="left" vertical="top"/>
    </xf>
    <xf numFmtId="0" fontId="0" fillId="0" borderId="17" xfId="0" applyBorder="1" applyAlignment="1">
      <alignment horizontal="left" vertical="top"/>
    </xf>
    <xf numFmtId="0" fontId="0" fillId="0" borderId="18" xfId="0" applyBorder="1" applyAlignment="1">
      <alignment horizontal="left" vertical="top"/>
    </xf>
    <xf numFmtId="0" fontId="0" fillId="0" borderId="19" xfId="0" applyBorder="1" applyAlignment="1">
      <alignment horizontal="left" vertical="top"/>
    </xf>
    <xf numFmtId="0" fontId="0" fillId="0" borderId="20" xfId="0" applyBorder="1" applyAlignment="1">
      <alignment horizontal="left" vertical="top"/>
    </xf>
    <xf numFmtId="0" fontId="0" fillId="0" borderId="13" xfId="0" applyBorder="1" applyAlignment="1">
      <alignment horizontal="left" vertical="top"/>
    </xf>
    <xf numFmtId="0" fontId="0" fillId="0" borderId="14" xfId="0" applyBorder="1" applyAlignment="1">
      <alignment horizontal="left" vertical="top"/>
    </xf>
    <xf numFmtId="0" fontId="0" fillId="0" borderId="15" xfId="0" applyBorder="1" applyAlignment="1">
      <alignment horizontal="left" vertical="top"/>
    </xf>
    <xf numFmtId="0" fontId="0" fillId="0" borderId="19" xfId="0" applyBorder="1" applyAlignment="1">
      <alignment horizontal="left" vertical="top" wrapText="1"/>
    </xf>
    <xf numFmtId="0" fontId="9" fillId="0" borderId="1" xfId="0" applyFont="1" applyBorder="1" applyAlignment="1">
      <alignment horizontal="left" vertical="top" wrapText="1" readingOrder="1"/>
    </xf>
    <xf numFmtId="0" fontId="9" fillId="0" borderId="1" xfId="0" applyFont="1" applyBorder="1" applyAlignment="1">
      <alignment horizontal="center" vertical="top" wrapText="1" readingOrder="1"/>
    </xf>
    <xf numFmtId="0" fontId="0" fillId="0" borderId="14" xfId="0" applyBorder="1" applyAlignment="1">
      <alignment horizontal="left" vertical="top" wrapText="1"/>
    </xf>
    <xf numFmtId="0" fontId="0" fillId="0" borderId="0" xfId="0" applyBorder="1" applyAlignment="1">
      <alignment horizontal="left" vertical="center"/>
    </xf>
    <xf numFmtId="0" fontId="10" fillId="6" borderId="1" xfId="0" applyFont="1" applyFill="1" applyBorder="1" applyAlignment="1" applyProtection="1">
      <alignment horizontal="center" vertical="center" wrapText="1"/>
    </xf>
    <xf numFmtId="0" fontId="5" fillId="5" borderId="1" xfId="0" applyFont="1" applyFill="1" applyBorder="1" applyAlignment="1">
      <alignment horizontal="center" vertical="center"/>
    </xf>
    <xf numFmtId="0" fontId="8" fillId="5" borderId="1" xfId="0" applyFont="1" applyFill="1" applyBorder="1" applyAlignment="1">
      <alignment horizontal="center" vertical="center" wrapText="1" readingOrder="1"/>
    </xf>
    <xf numFmtId="0" fontId="8" fillId="5" borderId="1" xfId="0" applyFont="1" applyFill="1" applyBorder="1" applyAlignment="1">
      <alignment horizontal="center" vertical="top" wrapText="1" readingOrder="1"/>
    </xf>
    <xf numFmtId="0" fontId="5" fillId="5" borderId="21" xfId="0" applyFont="1" applyFill="1" applyBorder="1" applyAlignment="1">
      <alignment horizontal="center" vertical="center"/>
    </xf>
    <xf numFmtId="0" fontId="5" fillId="5" borderId="12" xfId="0" applyFont="1" applyFill="1" applyBorder="1" applyAlignment="1">
      <alignment horizontal="center" vertical="center"/>
    </xf>
    <xf numFmtId="0" fontId="0" fillId="0" borderId="0" xfId="0" applyAlignment="1">
      <alignment wrapText="1"/>
    </xf>
    <xf numFmtId="0" fontId="13" fillId="3" borderId="0" xfId="0" applyFont="1" applyFill="1"/>
    <xf numFmtId="0" fontId="13" fillId="3" borderId="0" xfId="0" applyNumberFormat="1" applyFont="1" applyFill="1"/>
    <xf numFmtId="0" fontId="13" fillId="3" borderId="0" xfId="0" applyFont="1" applyFill="1" applyAlignment="1">
      <alignment horizontal="left"/>
    </xf>
    <xf numFmtId="0" fontId="13" fillId="0" borderId="0" xfId="0" applyFont="1"/>
    <xf numFmtId="0" fontId="0" fillId="5" borderId="1" xfId="0" applyFill="1" applyBorder="1" applyAlignment="1" applyProtection="1">
      <alignment horizontal="center" vertical="center"/>
      <protection hidden="1"/>
    </xf>
    <xf numFmtId="2" fontId="0" fillId="5" borderId="1" xfId="0" applyNumberFormat="1" applyFill="1" applyBorder="1" applyAlignment="1" applyProtection="1">
      <alignment horizontal="center" vertical="center"/>
      <protection hidden="1"/>
    </xf>
    <xf numFmtId="2" fontId="2" fillId="3" borderId="0" xfId="0" applyNumberFormat="1" applyFont="1" applyFill="1" applyBorder="1" applyAlignment="1" applyProtection="1">
      <alignment horizontal="center" vertical="center"/>
      <protection hidden="1"/>
    </xf>
    <xf numFmtId="0" fontId="0" fillId="0" borderId="0" xfId="0" applyProtection="1">
      <protection hidden="1"/>
    </xf>
    <xf numFmtId="0" fontId="12" fillId="0" borderId="0" xfId="0" applyFont="1" applyProtection="1">
      <protection hidden="1"/>
    </xf>
    <xf numFmtId="0" fontId="2" fillId="3" borderId="0" xfId="0" applyFont="1" applyFill="1" applyBorder="1" applyAlignment="1" applyProtection="1">
      <alignment horizontal="left" vertical="top" wrapText="1"/>
      <protection hidden="1"/>
    </xf>
    <xf numFmtId="0" fontId="2" fillId="3" borderId="0" xfId="0" applyFont="1" applyFill="1" applyAlignment="1" applyProtection="1">
      <alignment horizontal="left" vertical="top"/>
      <protection hidden="1"/>
    </xf>
    <xf numFmtId="0" fontId="0" fillId="0" borderId="0" xfId="0" applyAlignment="1" applyProtection="1">
      <alignment horizontal="center"/>
      <protection hidden="1"/>
    </xf>
    <xf numFmtId="0" fontId="2" fillId="3" borderId="0" xfId="0" applyFont="1" applyFill="1" applyBorder="1" applyAlignment="1" applyProtection="1">
      <alignment horizontal="center"/>
      <protection hidden="1"/>
    </xf>
    <xf numFmtId="0" fontId="2" fillId="3" borderId="0" xfId="0" applyFont="1" applyFill="1" applyBorder="1" applyAlignment="1" applyProtection="1">
      <alignment horizontal="left" vertical="top"/>
      <protection hidden="1"/>
    </xf>
    <xf numFmtId="0" fontId="0" fillId="0" borderId="0" xfId="0" applyBorder="1"/>
    <xf numFmtId="0" fontId="1" fillId="0" borderId="5" xfId="0" applyFont="1" applyFill="1" applyBorder="1" applyAlignment="1" applyProtection="1">
      <protection hidden="1"/>
    </xf>
    <xf numFmtId="0" fontId="1" fillId="0" borderId="6" xfId="0" applyFont="1" applyFill="1" applyBorder="1" applyAlignment="1" applyProtection="1">
      <protection hidden="1"/>
    </xf>
    <xf numFmtId="0" fontId="1" fillId="0" borderId="0" xfId="0" applyFont="1" applyFill="1" applyBorder="1" applyAlignment="1" applyProtection="1">
      <protection hidden="1"/>
    </xf>
    <xf numFmtId="0" fontId="1" fillId="0" borderId="8" xfId="0" applyFont="1" applyFill="1" applyBorder="1" applyAlignment="1" applyProtection="1">
      <protection hidden="1"/>
    </xf>
    <xf numFmtId="0" fontId="3" fillId="2" borderId="5" xfId="0" applyFont="1" applyFill="1" applyBorder="1" applyAlignment="1" applyProtection="1">
      <alignment vertical="top"/>
      <protection locked="0" hidden="1"/>
    </xf>
    <xf numFmtId="0" fontId="3" fillId="2" borderId="5" xfId="0" applyFont="1" applyFill="1" applyBorder="1" applyAlignment="1" applyProtection="1">
      <protection hidden="1"/>
    </xf>
    <xf numFmtId="0" fontId="3" fillId="2" borderId="6" xfId="0" applyFont="1" applyFill="1" applyBorder="1" applyAlignment="1" applyProtection="1">
      <protection hidden="1"/>
    </xf>
    <xf numFmtId="10" fontId="1" fillId="5" borderId="1" xfId="0" applyNumberFormat="1" applyFont="1" applyFill="1" applyBorder="1" applyAlignment="1" applyProtection="1">
      <alignment horizontal="center" vertical="center" wrapText="1"/>
      <protection hidden="1"/>
    </xf>
    <xf numFmtId="0" fontId="1" fillId="7" borderId="1" xfId="0" applyFont="1" applyFill="1" applyBorder="1" applyAlignment="1" applyProtection="1">
      <alignment horizontal="center" vertical="center" wrapText="1"/>
      <protection hidden="1"/>
    </xf>
    <xf numFmtId="2" fontId="1" fillId="5" borderId="1" xfId="0" applyNumberFormat="1" applyFont="1" applyFill="1" applyBorder="1" applyAlignment="1" applyProtection="1">
      <alignment horizontal="center" vertical="center" wrapText="1"/>
      <protection hidden="1"/>
    </xf>
    <xf numFmtId="0" fontId="1" fillId="0" borderId="0" xfId="0" applyFont="1" applyAlignment="1" applyProtection="1">
      <alignment horizontal="left" wrapText="1"/>
      <protection hidden="1"/>
    </xf>
    <xf numFmtId="0" fontId="1" fillId="0" borderId="0" xfId="0" applyFont="1" applyAlignment="1" applyProtection="1">
      <alignment horizontal="left"/>
      <protection hidden="1"/>
    </xf>
    <xf numFmtId="10" fontId="0" fillId="0" borderId="1" xfId="1" applyNumberFormat="1" applyFont="1" applyBorder="1" applyAlignment="1">
      <alignment horizontal="center" vertical="center"/>
    </xf>
    <xf numFmtId="10" fontId="9" fillId="0" borderId="1" xfId="1" applyNumberFormat="1" applyFont="1" applyBorder="1" applyAlignment="1">
      <alignment horizontal="center" vertical="top" wrapText="1" readingOrder="1"/>
    </xf>
    <xf numFmtId="0" fontId="11" fillId="6" borderId="1" xfId="0" applyFont="1" applyFill="1" applyBorder="1" applyAlignment="1" applyProtection="1">
      <alignment horizontal="center" vertical="center" wrapText="1"/>
      <protection hidden="1"/>
    </xf>
    <xf numFmtId="0" fontId="0" fillId="0" borderId="1" xfId="0" applyBorder="1" applyAlignment="1" applyProtection="1">
      <alignment horizontal="left" vertical="center"/>
      <protection locked="0"/>
    </xf>
    <xf numFmtId="17" fontId="0" fillId="0" borderId="1" xfId="0" applyNumberFormat="1" applyBorder="1" applyAlignment="1" applyProtection="1">
      <alignment horizontal="left" vertical="center" wrapText="1"/>
      <protection locked="0"/>
    </xf>
    <xf numFmtId="0" fontId="0" fillId="0" borderId="1" xfId="0" applyBorder="1" applyAlignment="1" applyProtection="1">
      <alignment horizontal="left" vertical="center" wrapText="1"/>
      <protection locked="0"/>
    </xf>
    <xf numFmtId="0" fontId="0" fillId="0" borderId="1" xfId="0" applyBorder="1" applyAlignment="1" applyProtection="1">
      <alignment vertical="center" wrapText="1"/>
      <protection locked="0"/>
    </xf>
    <xf numFmtId="0" fontId="0" fillId="0" borderId="0" xfId="0" applyAlignment="1" applyProtection="1">
      <alignment horizontal="lef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1"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pplyProtection="1">
      <alignment horizontal="center"/>
      <protection locked="0"/>
    </xf>
    <xf numFmtId="17" fontId="10" fillId="6" borderId="1" xfId="0" applyNumberFormat="1" applyFont="1" applyFill="1" applyBorder="1" applyAlignment="1" applyProtection="1">
      <alignment horizontal="left" vertical="top"/>
      <protection hidden="1"/>
    </xf>
    <xf numFmtId="0" fontId="10" fillId="6" borderId="1" xfId="0" applyNumberFormat="1" applyFont="1" applyFill="1" applyBorder="1" applyAlignment="1" applyProtection="1">
      <alignment horizontal="left" vertical="top"/>
      <protection hidden="1"/>
    </xf>
    <xf numFmtId="0" fontId="10" fillId="6" borderId="1" xfId="0" applyFont="1" applyFill="1" applyBorder="1" applyAlignment="1" applyProtection="1">
      <alignment horizontal="left" vertical="top"/>
      <protection hidden="1"/>
    </xf>
    <xf numFmtId="17" fontId="0" fillId="0" borderId="1" xfId="0" applyNumberFormat="1" applyBorder="1" applyAlignment="1" applyProtection="1">
      <alignment horizontal="left" vertical="top"/>
      <protection hidden="1"/>
    </xf>
    <xf numFmtId="0" fontId="0" fillId="0" borderId="1" xfId="0" applyNumberFormat="1" applyBorder="1" applyAlignment="1" applyProtection="1">
      <alignment horizontal="left" vertical="top"/>
      <protection hidden="1"/>
    </xf>
    <xf numFmtId="2" fontId="0" fillId="0" borderId="1" xfId="0" applyNumberFormat="1" applyBorder="1" applyAlignment="1" applyProtection="1">
      <alignment horizontal="left" vertical="top"/>
      <protection hidden="1"/>
    </xf>
    <xf numFmtId="17" fontId="0" fillId="0" borderId="0" xfId="0" applyNumberFormat="1" applyAlignment="1" applyProtection="1">
      <alignment horizontal="left" vertical="top"/>
      <protection hidden="1"/>
    </xf>
    <xf numFmtId="0" fontId="0" fillId="0" borderId="0" xfId="0" applyNumberFormat="1" applyAlignment="1" applyProtection="1">
      <alignment horizontal="left" vertical="top"/>
      <protection hidden="1"/>
    </xf>
    <xf numFmtId="2" fontId="0" fillId="0" borderId="0" xfId="0" applyNumberFormat="1" applyAlignment="1" applyProtection="1">
      <alignment horizontal="left" vertical="top"/>
      <protection hidden="1"/>
    </xf>
    <xf numFmtId="0" fontId="0" fillId="0" borderId="0" xfId="0" applyAlignment="1" applyProtection="1">
      <alignment horizontal="left" vertical="top"/>
      <protection hidden="1"/>
    </xf>
    <xf numFmtId="0" fontId="10" fillId="0" borderId="0" xfId="0" applyFont="1" applyFill="1" applyBorder="1" applyAlignment="1" applyProtection="1">
      <alignment horizontal="left" vertical="top"/>
      <protection locked="0" hidden="1"/>
    </xf>
    <xf numFmtId="17" fontId="2" fillId="0" borderId="0" xfId="0" applyNumberFormat="1" applyFont="1" applyFill="1" applyBorder="1" applyAlignment="1" applyProtection="1">
      <alignment horizontal="left" vertical="top"/>
      <protection locked="0" hidden="1"/>
    </xf>
    <xf numFmtId="0" fontId="10" fillId="0" borderId="0" xfId="0" applyNumberFormat="1" applyFont="1" applyFill="1" applyBorder="1" applyAlignment="1" applyProtection="1">
      <alignment horizontal="left" vertical="top"/>
      <protection locked="0" hidden="1"/>
    </xf>
    <xf numFmtId="0" fontId="0" fillId="0" borderId="0" xfId="0" applyFill="1" applyAlignment="1" applyProtection="1">
      <alignment horizontal="left" vertical="top"/>
      <protection hidden="1"/>
    </xf>
    <xf numFmtId="0" fontId="2" fillId="0" borderId="0" xfId="0" applyFont="1" applyFill="1" applyBorder="1" applyAlignment="1" applyProtection="1">
      <alignment horizontal="left" vertical="top"/>
      <protection locked="0" hidden="1"/>
    </xf>
    <xf numFmtId="2" fontId="2" fillId="0" borderId="0" xfId="0" applyNumberFormat="1" applyFont="1" applyFill="1" applyBorder="1" applyAlignment="1" applyProtection="1">
      <alignment horizontal="left" vertical="top"/>
      <protection locked="0" hidden="1"/>
    </xf>
    <xf numFmtId="0" fontId="2" fillId="0" borderId="0" xfId="0" applyNumberFormat="1" applyFont="1" applyFill="1" applyBorder="1" applyAlignment="1" applyProtection="1">
      <alignment horizontal="left" vertical="top"/>
      <protection locked="0" hidden="1"/>
    </xf>
    <xf numFmtId="0" fontId="13" fillId="0" borderId="0" xfId="0" applyFont="1" applyAlignment="1">
      <alignment horizontal="left" vertical="top"/>
    </xf>
    <xf numFmtId="0" fontId="13" fillId="0" borderId="0" xfId="0" applyFont="1" applyFill="1" applyAlignment="1" applyProtection="1">
      <alignment horizontal="left" vertical="top"/>
      <protection hidden="1"/>
    </xf>
    <xf numFmtId="0" fontId="2" fillId="0" borderId="0" xfId="0" applyFont="1"/>
    <xf numFmtId="2" fontId="13" fillId="3" borderId="0" xfId="0" applyNumberFormat="1" applyFont="1" applyFill="1"/>
    <xf numFmtId="0" fontId="1" fillId="0" borderId="5" xfId="0" applyFont="1" applyFill="1" applyBorder="1" applyAlignment="1" applyProtection="1"/>
    <xf numFmtId="0" fontId="0" fillId="0" borderId="7" xfId="0" applyBorder="1" applyAlignment="1" applyProtection="1">
      <alignment horizontal="left"/>
    </xf>
    <xf numFmtId="0" fontId="0" fillId="0" borderId="0" xfId="0" applyAlignment="1" applyProtection="1">
      <alignment horizontal="left"/>
    </xf>
    <xf numFmtId="0" fontId="1" fillId="5" borderId="1" xfId="0" applyFont="1" applyFill="1" applyBorder="1" applyAlignment="1" applyProtection="1">
      <alignment horizontal="left"/>
    </xf>
    <xf numFmtId="0" fontId="1" fillId="0" borderId="0" xfId="0" applyFont="1" applyFill="1" applyBorder="1" applyAlignment="1" applyProtection="1"/>
    <xf numFmtId="0" fontId="3" fillId="2" borderId="5" xfId="0" applyFont="1" applyFill="1" applyBorder="1" applyAlignment="1" applyProtection="1">
      <alignment vertical="top"/>
      <protection locked="0"/>
    </xf>
    <xf numFmtId="0" fontId="3" fillId="2" borderId="5" xfId="0" applyFont="1" applyFill="1" applyBorder="1" applyAlignment="1" applyProtection="1"/>
    <xf numFmtId="0" fontId="0" fillId="0" borderId="0" xfId="0" applyBorder="1" applyAlignment="1" applyProtection="1">
      <alignment horizontal="left"/>
    </xf>
    <xf numFmtId="0" fontId="1" fillId="5" borderId="12" xfId="0" applyFont="1" applyFill="1" applyBorder="1" applyAlignment="1" applyProtection="1">
      <alignment horizontal="left"/>
    </xf>
    <xf numFmtId="0" fontId="0" fillId="0" borderId="7" xfId="0" applyBorder="1" applyAlignment="1" applyProtection="1">
      <alignment horizontal="left"/>
      <protection locked="0"/>
    </xf>
    <xf numFmtId="0" fontId="0" fillId="0" borderId="0" xfId="0" applyAlignment="1" applyProtection="1">
      <alignment horizontal="left"/>
      <protection locked="0"/>
    </xf>
    <xf numFmtId="0" fontId="1" fillId="7" borderId="1" xfId="0" applyFont="1" applyFill="1" applyBorder="1" applyAlignment="1" applyProtection="1">
      <alignment horizontal="center" vertical="center" wrapText="1"/>
    </xf>
    <xf numFmtId="0" fontId="11" fillId="6" borderId="1" xfId="0" applyFont="1" applyFill="1" applyBorder="1" applyAlignment="1" applyProtection="1">
      <alignment horizontal="center" vertical="center" wrapText="1"/>
    </xf>
    <xf numFmtId="0" fontId="1" fillId="0" borderId="1" xfId="0" applyFont="1" applyBorder="1" applyAlignment="1" applyProtection="1">
      <alignment horizontal="left"/>
      <protection locked="0"/>
    </xf>
    <xf numFmtId="10" fontId="1" fillId="0" borderId="1" xfId="0" applyNumberFormat="1" applyFont="1" applyBorder="1" applyAlignment="1" applyProtection="1">
      <alignment horizontal="center" vertical="center" wrapText="1"/>
      <protection locked="0"/>
    </xf>
    <xf numFmtId="2" fontId="1" fillId="0" borderId="1" xfId="0" applyNumberFormat="1" applyFont="1" applyBorder="1" applyAlignment="1" applyProtection="1">
      <alignment horizontal="center" vertical="center" wrapText="1"/>
      <protection locked="0"/>
    </xf>
    <xf numFmtId="10" fontId="1" fillId="0" borderId="1" xfId="0" applyNumberFormat="1" applyFont="1" applyBorder="1" applyAlignment="1" applyProtection="1">
      <alignment horizontal="center" vertical="center"/>
      <protection locked="0"/>
    </xf>
    <xf numFmtId="2" fontId="1" fillId="0" borderId="1" xfId="0" applyNumberFormat="1" applyFont="1" applyBorder="1" applyAlignment="1" applyProtection="1">
      <alignment horizontal="center" vertical="center"/>
      <protection locked="0"/>
    </xf>
    <xf numFmtId="2" fontId="0" fillId="0" borderId="0" xfId="0" applyNumberFormat="1" applyAlignment="1" applyProtection="1">
      <alignment horizontal="left"/>
    </xf>
    <xf numFmtId="2" fontId="1" fillId="0" borderId="1" xfId="0" applyNumberFormat="1" applyFont="1" applyFill="1" applyBorder="1" applyAlignment="1" applyProtection="1">
      <alignment horizontal="center" vertical="center"/>
      <protection locked="0"/>
    </xf>
    <xf numFmtId="0" fontId="1" fillId="0" borderId="0" xfId="0" applyFont="1" applyAlignment="1" applyProtection="1">
      <alignment horizontal="left"/>
      <protection locked="0"/>
    </xf>
    <xf numFmtId="0" fontId="1" fillId="0" borderId="0" xfId="0" applyFont="1" applyAlignment="1" applyProtection="1">
      <alignment horizontal="left" wrapText="1"/>
      <protection locked="0"/>
    </xf>
    <xf numFmtId="0" fontId="1" fillId="0" borderId="0" xfId="0" applyFont="1" applyAlignment="1" applyProtection="1">
      <alignment horizontal="left" wrapText="1"/>
    </xf>
    <xf numFmtId="0" fontId="1" fillId="0" borderId="0" xfId="0" applyFont="1" applyAlignment="1" applyProtection="1">
      <alignment horizontal="left"/>
    </xf>
    <xf numFmtId="0" fontId="0" fillId="0" borderId="0" xfId="0" pivotButton="1"/>
    <xf numFmtId="0" fontId="0" fillId="0" borderId="16" xfId="0" applyBorder="1"/>
    <xf numFmtId="0" fontId="0" fillId="0" borderId="17" xfId="0" applyBorder="1"/>
    <xf numFmtId="0" fontId="0" fillId="0" borderId="16" xfId="0" applyBorder="1" applyProtection="1">
      <protection hidden="1"/>
    </xf>
    <xf numFmtId="0" fontId="0" fillId="0" borderId="17" xfId="0" applyBorder="1" applyProtection="1">
      <protection hidden="1"/>
    </xf>
    <xf numFmtId="0" fontId="0" fillId="0" borderId="18" xfId="0" applyBorder="1" applyProtection="1">
      <protection hidden="1"/>
    </xf>
    <xf numFmtId="0" fontId="0" fillId="0" borderId="20" xfId="0" applyBorder="1" applyProtection="1">
      <protection hidden="1"/>
    </xf>
    <xf numFmtId="0" fontId="0" fillId="0" borderId="0" xfId="0" applyAlignment="1">
      <alignment horizontal="left"/>
    </xf>
    <xf numFmtId="2" fontId="0" fillId="0" borderId="0" xfId="0" applyNumberFormat="1"/>
    <xf numFmtId="0" fontId="0" fillId="0" borderId="0" xfId="0" applyNumberFormat="1"/>
    <xf numFmtId="14" fontId="2" fillId="0" borderId="0" xfId="0" applyNumberFormat="1" applyFont="1" applyFill="1" applyBorder="1" applyAlignment="1" applyProtection="1">
      <alignment horizontal="left" vertical="top"/>
      <protection locked="0" hidden="1"/>
    </xf>
    <xf numFmtId="0" fontId="10" fillId="6" borderId="1" xfId="0" applyFont="1" applyFill="1" applyBorder="1" applyAlignment="1" applyProtection="1">
      <alignment horizontal="left" vertical="center" wrapText="1"/>
      <protection locked="0"/>
    </xf>
    <xf numFmtId="0" fontId="10" fillId="6" borderId="1" xfId="0" applyFont="1" applyFill="1" applyBorder="1" applyAlignment="1" applyProtection="1">
      <alignment horizontal="center" vertical="center" wrapText="1"/>
      <protection locked="0"/>
    </xf>
    <xf numFmtId="0" fontId="10" fillId="6" borderId="1" xfId="0" applyFont="1" applyFill="1" applyBorder="1" applyAlignment="1" applyProtection="1">
      <alignment horizontal="center" vertical="center" wrapText="1"/>
      <protection locked="0" hidden="1"/>
    </xf>
    <xf numFmtId="0" fontId="2" fillId="3" borderId="0" xfId="0" applyFont="1" applyFill="1" applyBorder="1" applyAlignment="1" applyProtection="1">
      <alignment horizontal="center" vertical="center" wrapText="1"/>
      <protection locked="0" hidden="1"/>
    </xf>
    <xf numFmtId="0" fontId="0" fillId="0" borderId="0" xfId="0" applyAlignment="1" applyProtection="1">
      <alignment wrapText="1"/>
      <protection locked="0" hidden="1"/>
    </xf>
    <xf numFmtId="0" fontId="12" fillId="0" borderId="0" xfId="0" applyFont="1" applyAlignment="1" applyProtection="1">
      <alignment wrapText="1"/>
      <protection locked="0" hidden="1"/>
    </xf>
    <xf numFmtId="0" fontId="2" fillId="3" borderId="0" xfId="0" applyFont="1" applyFill="1" applyAlignment="1" applyProtection="1">
      <alignment horizontal="center" vertical="center" wrapText="1"/>
      <protection locked="0" hidden="1"/>
    </xf>
    <xf numFmtId="0" fontId="0" fillId="0" borderId="1" xfId="0" applyBorder="1" applyAlignment="1">
      <alignment horizontal="center" wrapText="1"/>
    </xf>
    <xf numFmtId="0" fontId="17" fillId="0" borderId="1" xfId="2" applyBorder="1" applyAlignment="1">
      <alignment horizontal="center" wrapText="1"/>
    </xf>
    <xf numFmtId="0" fontId="16" fillId="0" borderId="1" xfId="0" applyFont="1" applyBorder="1" applyAlignment="1">
      <alignment horizontal="center" vertical="center"/>
    </xf>
    <xf numFmtId="0" fontId="9" fillId="0" borderId="1" xfId="0" applyFont="1" applyBorder="1" applyAlignment="1">
      <alignment horizontal="center" vertical="center"/>
    </xf>
    <xf numFmtId="0" fontId="0" fillId="0" borderId="1" xfId="0" applyBorder="1" applyAlignment="1">
      <alignment horizontal="center"/>
    </xf>
    <xf numFmtId="0" fontId="0" fillId="0" borderId="26" xfId="0" applyFill="1" applyBorder="1" applyAlignment="1" applyProtection="1">
      <alignment horizontal="left"/>
      <protection hidden="1"/>
    </xf>
    <xf numFmtId="0" fontId="0" fillId="0" borderId="26" xfId="0" applyFill="1" applyBorder="1" applyAlignment="1" applyProtection="1">
      <alignment horizontal="center" vertical="center"/>
      <protection hidden="1"/>
    </xf>
    <xf numFmtId="0" fontId="0" fillId="0" borderId="1" xfId="0" applyFill="1" applyBorder="1" applyAlignment="1" applyProtection="1">
      <alignment horizontal="left"/>
      <protection hidden="1"/>
    </xf>
    <xf numFmtId="0" fontId="0" fillId="0" borderId="1" xfId="0" applyFill="1" applyBorder="1" applyAlignment="1" applyProtection="1">
      <alignment horizontal="center" vertical="center"/>
      <protection hidden="1"/>
    </xf>
    <xf numFmtId="0" fontId="6" fillId="8" borderId="13" xfId="0" applyFont="1" applyFill="1" applyBorder="1" applyAlignment="1">
      <alignment horizontal="center"/>
    </xf>
    <xf numFmtId="0" fontId="6" fillId="8" borderId="14" xfId="0" applyFont="1" applyFill="1" applyBorder="1" applyAlignment="1">
      <alignment horizontal="center"/>
    </xf>
    <xf numFmtId="0" fontId="6" fillId="8" borderId="15" xfId="0" applyFont="1" applyFill="1" applyBorder="1" applyAlignment="1">
      <alignment horizontal="center"/>
    </xf>
    <xf numFmtId="0" fontId="6" fillId="8" borderId="22" xfId="0" applyFont="1" applyFill="1" applyBorder="1" applyAlignment="1">
      <alignment horizontal="center"/>
    </xf>
    <xf numFmtId="0" fontId="6" fillId="8" borderId="24" xfId="0" applyFont="1" applyFill="1" applyBorder="1" applyAlignment="1">
      <alignment horizontal="center"/>
    </xf>
    <xf numFmtId="0" fontId="15" fillId="5" borderId="1" xfId="0" applyFont="1" applyFill="1" applyBorder="1" applyAlignment="1" applyProtection="1">
      <alignment horizontal="center" vertical="center"/>
      <protection hidden="1"/>
    </xf>
    <xf numFmtId="0" fontId="1" fillId="0" borderId="1" xfId="0" applyFont="1" applyFill="1" applyBorder="1" applyAlignment="1" applyProtection="1">
      <alignment horizontal="center" vertical="center"/>
      <protection locked="0"/>
    </xf>
    <xf numFmtId="0" fontId="11" fillId="6" borderId="1" xfId="0" applyFont="1" applyFill="1" applyBorder="1" applyAlignment="1" applyProtection="1">
      <alignment horizontal="center" vertical="center" wrapText="1"/>
    </xf>
    <xf numFmtId="0" fontId="1" fillId="0" borderId="12" xfId="0" applyFont="1" applyFill="1" applyBorder="1" applyAlignment="1" applyProtection="1">
      <alignment horizontal="center"/>
      <protection locked="0" hidden="1"/>
    </xf>
    <xf numFmtId="0" fontId="1" fillId="4" borderId="1" xfId="0" applyFont="1" applyFill="1" applyBorder="1" applyAlignment="1" applyProtection="1">
      <alignment horizontal="center" vertical="center"/>
      <protection locked="0" hidden="1"/>
    </xf>
    <xf numFmtId="0" fontId="1" fillId="4" borderId="1" xfId="0" applyFont="1" applyFill="1" applyBorder="1" applyAlignment="1" applyProtection="1">
      <alignment horizontal="center" vertical="center"/>
      <protection locked="0"/>
    </xf>
    <xf numFmtId="0" fontId="1" fillId="0" borderId="12" xfId="0" applyFont="1" applyFill="1" applyBorder="1" applyAlignment="1" applyProtection="1">
      <alignment horizontal="left"/>
      <protection locked="0" hidden="1"/>
    </xf>
    <xf numFmtId="0" fontId="1" fillId="0" borderId="12" xfId="0" applyFont="1" applyFill="1" applyBorder="1" applyAlignment="1" applyProtection="1">
      <alignment horizontal="left" vertical="center"/>
      <protection locked="0"/>
    </xf>
    <xf numFmtId="0" fontId="6" fillId="6" borderId="1" xfId="0" applyFont="1" applyFill="1" applyBorder="1" applyAlignment="1" applyProtection="1">
      <alignment horizontal="center" vertical="center"/>
    </xf>
    <xf numFmtId="0" fontId="1" fillId="0" borderId="1" xfId="0" applyFont="1" applyFill="1" applyBorder="1" applyAlignment="1" applyProtection="1">
      <alignment horizontal="center"/>
      <protection locked="0"/>
    </xf>
    <xf numFmtId="0" fontId="1" fillId="0" borderId="9" xfId="0" applyFont="1" applyFill="1" applyBorder="1" applyAlignment="1" applyProtection="1">
      <alignment horizontal="left" vertical="center"/>
      <protection locked="0"/>
    </xf>
    <xf numFmtId="0" fontId="1" fillId="0" borderId="10" xfId="0" applyFont="1" applyFill="1" applyBorder="1" applyAlignment="1" applyProtection="1">
      <alignment horizontal="left" vertical="center"/>
      <protection locked="0"/>
    </xf>
    <xf numFmtId="0" fontId="1" fillId="0" borderId="11" xfId="0" applyFont="1" applyFill="1" applyBorder="1" applyAlignment="1" applyProtection="1">
      <alignment horizontal="left" vertical="center"/>
      <protection locked="0"/>
    </xf>
    <xf numFmtId="0" fontId="1" fillId="0" borderId="2" xfId="0" applyFont="1" applyBorder="1" applyAlignment="1" applyProtection="1">
      <alignment horizontal="center" vertical="top"/>
      <protection locked="0"/>
    </xf>
    <xf numFmtId="0" fontId="1" fillId="0" borderId="3" xfId="0" applyFont="1" applyBorder="1" applyAlignment="1" applyProtection="1">
      <alignment horizontal="center" vertical="top"/>
      <protection locked="0"/>
    </xf>
    <xf numFmtId="0" fontId="1" fillId="0" borderId="4" xfId="0" applyFont="1" applyBorder="1" applyAlignment="1" applyProtection="1">
      <alignment horizontal="center" vertical="top"/>
      <protection locked="0"/>
    </xf>
    <xf numFmtId="0" fontId="1" fillId="0" borderId="2" xfId="0" applyFont="1" applyBorder="1" applyAlignment="1" applyProtection="1">
      <alignment horizontal="left" vertical="top"/>
      <protection locked="0"/>
    </xf>
    <xf numFmtId="0" fontId="1" fillId="0" borderId="3" xfId="0" applyFont="1" applyBorder="1" applyAlignment="1" applyProtection="1">
      <alignment horizontal="left" vertical="top"/>
      <protection locked="0"/>
    </xf>
    <xf numFmtId="0" fontId="1" fillId="0" borderId="4" xfId="0" applyFont="1" applyBorder="1" applyAlignment="1" applyProtection="1">
      <alignment horizontal="left" vertical="top"/>
      <protection locked="0"/>
    </xf>
    <xf numFmtId="0" fontId="0" fillId="0" borderId="21" xfId="0" applyBorder="1" applyAlignment="1">
      <alignment horizontal="center" vertical="center"/>
    </xf>
    <xf numFmtId="0" fontId="0" fillId="0" borderId="25" xfId="0" applyBorder="1" applyAlignment="1">
      <alignment horizontal="center" vertical="center"/>
    </xf>
    <xf numFmtId="0" fontId="0" fillId="0" borderId="12" xfId="0" applyBorder="1" applyAlignment="1">
      <alignment horizontal="center" vertical="center"/>
    </xf>
    <xf numFmtId="0" fontId="9" fillId="0" borderId="21" xfId="0" applyFont="1" applyBorder="1" applyAlignment="1">
      <alignment horizontal="center" vertical="center" wrapText="1" readingOrder="1"/>
    </xf>
    <xf numFmtId="0" fontId="9" fillId="0" borderId="25" xfId="0" applyFont="1" applyBorder="1" applyAlignment="1">
      <alignment horizontal="center" vertical="center" wrapText="1" readingOrder="1"/>
    </xf>
    <xf numFmtId="0" fontId="9" fillId="0" borderId="12" xfId="0" applyFont="1" applyBorder="1" applyAlignment="1">
      <alignment horizontal="center" vertical="center" wrapText="1" readingOrder="1"/>
    </xf>
    <xf numFmtId="0" fontId="5" fillId="5" borderId="21" xfId="0" applyFont="1" applyFill="1" applyBorder="1" applyAlignment="1">
      <alignment horizontal="center" vertical="center" wrapText="1"/>
    </xf>
    <xf numFmtId="0" fontId="5" fillId="5" borderId="12" xfId="0" applyFont="1" applyFill="1" applyBorder="1" applyAlignment="1">
      <alignment horizontal="center" vertical="center" wrapText="1"/>
    </xf>
    <xf numFmtId="0" fontId="8" fillId="5" borderId="21" xfId="0" applyFont="1" applyFill="1" applyBorder="1" applyAlignment="1">
      <alignment horizontal="center" vertical="center" wrapText="1" readingOrder="1"/>
    </xf>
    <xf numFmtId="0" fontId="8" fillId="5" borderId="12" xfId="0" applyFont="1" applyFill="1" applyBorder="1" applyAlignment="1">
      <alignment horizontal="center" vertical="center" wrapText="1" readingOrder="1"/>
    </xf>
    <xf numFmtId="0" fontId="8" fillId="5" borderId="2" xfId="0" applyFont="1" applyFill="1" applyBorder="1" applyAlignment="1">
      <alignment horizontal="center" vertical="center" wrapText="1" readingOrder="1"/>
    </xf>
    <xf numFmtId="0" fontId="8" fillId="5" borderId="4" xfId="0" applyFont="1" applyFill="1" applyBorder="1" applyAlignment="1">
      <alignment horizontal="center" vertical="center" wrapText="1" readingOrder="1"/>
    </xf>
    <xf numFmtId="0" fontId="0" fillId="0" borderId="1" xfId="0" applyBorder="1" applyAlignment="1">
      <alignment horizontal="left" vertical="top" wrapText="1"/>
    </xf>
    <xf numFmtId="0" fontId="5" fillId="5" borderId="2" xfId="0" applyFont="1" applyFill="1" applyBorder="1" applyAlignment="1">
      <alignment horizontal="center" vertical="center"/>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21" xfId="0" applyFont="1" applyFill="1" applyBorder="1" applyAlignment="1">
      <alignment horizontal="center" vertical="center"/>
    </xf>
    <xf numFmtId="0" fontId="5" fillId="5" borderId="12" xfId="0" applyFont="1" applyFill="1" applyBorder="1" applyAlignment="1">
      <alignment horizontal="center" vertical="center"/>
    </xf>
    <xf numFmtId="0" fontId="5" fillId="5" borderId="2" xfId="0" applyFont="1" applyFill="1" applyBorder="1" applyAlignment="1">
      <alignment horizontal="center" vertical="center" wrapText="1"/>
    </xf>
    <xf numFmtId="0" fontId="5" fillId="5" borderId="4" xfId="0" applyFont="1" applyFill="1" applyBorder="1" applyAlignment="1">
      <alignment horizontal="center" vertical="center" wrapText="1"/>
    </xf>
    <xf numFmtId="0" fontId="8" fillId="5" borderId="21" xfId="0" applyFont="1" applyFill="1" applyBorder="1" applyAlignment="1">
      <alignment horizontal="center" vertical="top" wrapText="1" readingOrder="1"/>
    </xf>
    <xf numFmtId="0" fontId="8" fillId="5" borderId="12" xfId="0" applyFont="1" applyFill="1" applyBorder="1" applyAlignment="1">
      <alignment horizontal="center" vertical="top" wrapText="1" readingOrder="1"/>
    </xf>
    <xf numFmtId="0" fontId="8" fillId="5" borderId="2" xfId="0" applyFont="1" applyFill="1" applyBorder="1" applyAlignment="1">
      <alignment horizontal="center" vertical="top" wrapText="1" readingOrder="1"/>
    </xf>
    <xf numFmtId="0" fontId="8" fillId="5" borderId="4" xfId="0" applyFont="1" applyFill="1" applyBorder="1" applyAlignment="1">
      <alignment horizontal="center" vertical="top" wrapText="1" readingOrder="1"/>
    </xf>
    <xf numFmtId="0" fontId="4" fillId="5" borderId="1" xfId="0" applyFont="1" applyFill="1" applyBorder="1" applyAlignment="1">
      <alignment horizontal="left" vertical="top" wrapText="1"/>
    </xf>
    <xf numFmtId="0" fontId="0" fillId="5" borderId="1" xfId="0" applyFill="1" applyBorder="1" applyAlignment="1">
      <alignment horizontal="left" vertical="top" wrapText="1"/>
    </xf>
    <xf numFmtId="0" fontId="7" fillId="6" borderId="1" xfId="0" applyFont="1" applyFill="1" applyBorder="1" applyAlignment="1">
      <alignment horizontal="center" vertical="top" wrapText="1"/>
    </xf>
    <xf numFmtId="0" fontId="0" fillId="0" borderId="0" xfId="0" applyAlignment="1">
      <alignment horizontal="left" vertical="top" wrapText="1"/>
    </xf>
    <xf numFmtId="0" fontId="8" fillId="5" borderId="3" xfId="0" applyFont="1" applyFill="1" applyBorder="1" applyAlignment="1">
      <alignment horizontal="center" vertical="center" wrapText="1" readingOrder="1"/>
    </xf>
    <xf numFmtId="0" fontId="6" fillId="6" borderId="22" xfId="0" applyFont="1" applyFill="1" applyBorder="1" applyAlignment="1">
      <alignment horizontal="center" vertical="center" wrapText="1"/>
    </xf>
    <xf numFmtId="0" fontId="6" fillId="6" borderId="23" xfId="0" applyFont="1" applyFill="1" applyBorder="1" applyAlignment="1">
      <alignment horizontal="center" vertical="center" wrapText="1"/>
    </xf>
    <xf numFmtId="0" fontId="6" fillId="6" borderId="24" xfId="0" applyFont="1" applyFill="1" applyBorder="1" applyAlignment="1">
      <alignment horizontal="center" vertical="center" wrapText="1"/>
    </xf>
    <xf numFmtId="0" fontId="8" fillId="5" borderId="3" xfId="0" applyFont="1" applyFill="1" applyBorder="1" applyAlignment="1">
      <alignment horizontal="center" vertical="top" wrapText="1" readingOrder="1"/>
    </xf>
    <xf numFmtId="0" fontId="0" fillId="0" borderId="1" xfId="0" applyBorder="1" applyAlignment="1">
      <alignment horizontal="center" vertical="center"/>
    </xf>
  </cellXfs>
  <cellStyles count="3">
    <cellStyle name="Hyperlink" xfId="2" builtinId="8"/>
    <cellStyle name="Normal" xfId="0" builtinId="0"/>
    <cellStyle name="Percent" xfId="1" builtinId="5"/>
  </cellStyles>
  <dxfs count="123">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auto="1"/>
      </font>
    </dxf>
    <dxf>
      <font>
        <color auto="1"/>
      </font>
    </dxf>
    <dxf>
      <font>
        <color auto="1"/>
      </font>
    </dxf>
    <dxf>
      <font>
        <color auto="1"/>
      </font>
    </dxf>
    <dxf>
      <font>
        <color auto="1"/>
      </font>
    </dxf>
    <dxf>
      <font>
        <color auto="1"/>
      </font>
    </dxf>
    <dxf>
      <font>
        <color auto="1"/>
      </font>
    </dxf>
    <dxf>
      <font>
        <color auto="1"/>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protection hidden="1"/>
    </dxf>
    <dxf>
      <protection hidden="1"/>
    </dxf>
    <dxf>
      <protection hidden="1"/>
    </dxf>
    <dxf>
      <protection hidden="1"/>
    </dxf>
    <dxf>
      <protection hidden="1"/>
    </dxf>
    <dxf>
      <protection locked="0"/>
    </dxf>
    <dxf>
      <protection locked="0"/>
    </dxf>
    <dxf>
      <protection locked="0"/>
    </dxf>
    <dxf>
      <protection locked="0"/>
    </dxf>
    <dxf>
      <protection locked="0"/>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ont>
        <color theme="0"/>
      </font>
    </dxf>
    <dxf>
      <font>
        <color theme="0"/>
      </font>
    </dxf>
    <dxf>
      <font>
        <color theme="0"/>
      </font>
    </dxf>
    <dxf>
      <font>
        <color theme="0"/>
      </font>
    </dxf>
    <dxf>
      <font>
        <color theme="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vertical="top" readingOrder="0"/>
    </dxf>
    <dxf>
      <alignment vertical="top" readingOrder="0"/>
    </dxf>
    <dxf>
      <alignment vertical="top" readingOrder="0"/>
    </dxf>
    <dxf>
      <alignment vertical="top" readingOrder="0"/>
    </dxf>
    <dxf>
      <alignment vertical="top" readingOrder="0"/>
    </dxf>
    <dxf>
      <alignment horizontal="left" readingOrder="0"/>
    </dxf>
    <dxf>
      <alignment horizontal="left" readingOrder="0"/>
    </dxf>
    <dxf>
      <alignment horizontal="left" readingOrder="0"/>
    </dxf>
    <dxf>
      <alignment horizontal="left" readingOrder="0"/>
    </dxf>
    <dxf>
      <alignment horizontal="left" readingOrder="0"/>
    </dxf>
    <dxf>
      <border>
        <left style="thin">
          <color indexed="64"/>
        </left>
      </border>
    </dxf>
    <dxf>
      <border>
        <left style="thin">
          <color indexed="64"/>
        </left>
      </border>
    </dxf>
    <dxf>
      <font>
        <b/>
      </font>
    </dxf>
    <dxf>
      <font>
        <b/>
      </font>
    </dxf>
    <dxf>
      <font>
        <color theme="0"/>
      </font>
    </dxf>
    <dxf>
      <font>
        <color theme="0"/>
      </font>
    </dxf>
    <dxf>
      <fill>
        <patternFill patternType="solid">
          <bgColor theme="4" tint="-0.249977111117893"/>
        </patternFill>
      </fill>
    </dxf>
    <dxf>
      <fill>
        <patternFill patternType="solid">
          <bgColor theme="4" tint="-0.249977111117893"/>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dxf>
    <dxf>
      <numFmt numFmtId="2" formatCode="0.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microsoft.com/office/2011/relationships/timelineCache" Target="timelineCaches/timelineCach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pivotCacheDefinition" Target="pivotCache/pivotCacheDefinition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7/relationships/slicerCache" Target="slicerCaches/slicerCache2.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[Data_Collection_ATLAS-Template.xlsm]Dashboard!PivotTable3</c:name>
    <c:fmtId val="2"/>
  </c:pivotSource>
  <c:chart>
    <c:title>
      <c:tx>
        <c:rich>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050"/>
              <a:t>Productivity</a:t>
            </a:r>
          </a:p>
        </c:rich>
      </c:tx>
      <c:overlay val="0"/>
      <c:spPr>
        <a:noFill/>
        <a:ln>
          <a:noFill/>
        </a:ln>
        <a:effectLst/>
      </c:spPr>
      <c:txPr>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Dashboard!$AG$198:$AG$199</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Dashboard!$AE$200:$AF$284</c:f>
              <c:multiLvlStrCache>
                <c:ptCount val="84"/>
                <c:lvl>
                  <c:pt idx="0">
                    <c:v>Kaushik C</c:v>
                  </c:pt>
                  <c:pt idx="1">
                    <c:v>Palraj A</c:v>
                  </c:pt>
                  <c:pt idx="2">
                    <c:v>Vasudev A</c:v>
                  </c:pt>
                  <c:pt idx="3">
                    <c:v>Kumanan</c:v>
                  </c:pt>
                  <c:pt idx="4">
                    <c:v>Mohamed Idris P</c:v>
                  </c:pt>
                  <c:pt idx="5">
                    <c:v>Thangamani S</c:v>
                  </c:pt>
                  <c:pt idx="6">
                    <c:v>Sudhakar B</c:v>
                  </c:pt>
                  <c:pt idx="7">
                    <c:v>Yogesh R</c:v>
                  </c:pt>
                  <c:pt idx="8">
                    <c:v>Navyasree C</c:v>
                  </c:pt>
                  <c:pt idx="9">
                    <c:v>G Ramalinngam</c:v>
                  </c:pt>
                  <c:pt idx="10">
                    <c:v>Nilesh Kumar</c:v>
                  </c:pt>
                  <c:pt idx="11">
                    <c:v>Sriharish Ramesh</c:v>
                  </c:pt>
                  <c:pt idx="12">
                    <c:v>Srividhya R</c:v>
                  </c:pt>
                  <c:pt idx="13">
                    <c:v>Sangilimurugan</c:v>
                  </c:pt>
                  <c:pt idx="14">
                    <c:v>T Lakshmi Priya</c:v>
                  </c:pt>
                  <c:pt idx="15">
                    <c:v>Karthikeyan Shanmugam</c:v>
                  </c:pt>
                  <c:pt idx="16">
                    <c:v>Diwakar S</c:v>
                  </c:pt>
                  <c:pt idx="17">
                    <c:v>Giridhar</c:v>
                  </c:pt>
                  <c:pt idx="18">
                    <c:v>Karthikeyan Shanmugam</c:v>
                  </c:pt>
                  <c:pt idx="19">
                    <c:v>Sriharish Ramesh</c:v>
                  </c:pt>
                  <c:pt idx="20">
                    <c:v>Mohamed Idris P</c:v>
                  </c:pt>
                  <c:pt idx="21">
                    <c:v>Karthikeyan Shanmugam</c:v>
                  </c:pt>
                  <c:pt idx="22">
                    <c:v>G Ramalinngam</c:v>
                  </c:pt>
                  <c:pt idx="23">
                    <c:v>Srividhya R</c:v>
                  </c:pt>
                  <c:pt idx="24">
                    <c:v>Diwakar S</c:v>
                  </c:pt>
                  <c:pt idx="25">
                    <c:v>T Lakshmi Priya</c:v>
                  </c:pt>
                  <c:pt idx="26">
                    <c:v>Kaushik C</c:v>
                  </c:pt>
                  <c:pt idx="27">
                    <c:v>Palraj A</c:v>
                  </c:pt>
                  <c:pt idx="28">
                    <c:v>Vasudev A</c:v>
                  </c:pt>
                  <c:pt idx="29">
                    <c:v>Kumanan</c:v>
                  </c:pt>
                  <c:pt idx="30">
                    <c:v>Mohamed Idris P</c:v>
                  </c:pt>
                  <c:pt idx="31">
                    <c:v>Thangamani S</c:v>
                  </c:pt>
                  <c:pt idx="32">
                    <c:v>Yogesh R</c:v>
                  </c:pt>
                  <c:pt idx="33">
                    <c:v>Navyasree C</c:v>
                  </c:pt>
                  <c:pt idx="34">
                    <c:v>Srividhya R</c:v>
                  </c:pt>
                  <c:pt idx="35">
                    <c:v>T Lakshmi Priya</c:v>
                  </c:pt>
                  <c:pt idx="36">
                    <c:v>Sreekanth Grandhi</c:v>
                  </c:pt>
                  <c:pt idx="37">
                    <c:v>Sankar Rajaraman</c:v>
                  </c:pt>
                  <c:pt idx="38">
                    <c:v>Kaushik C</c:v>
                  </c:pt>
                  <c:pt idx="39">
                    <c:v>Palraj A</c:v>
                  </c:pt>
                  <c:pt idx="40">
                    <c:v>Vasudev A</c:v>
                  </c:pt>
                  <c:pt idx="41">
                    <c:v>Kumanan</c:v>
                  </c:pt>
                  <c:pt idx="42">
                    <c:v>Mohamed Idris P</c:v>
                  </c:pt>
                  <c:pt idx="43">
                    <c:v>Thangamani S</c:v>
                  </c:pt>
                  <c:pt idx="44">
                    <c:v>Sudhakar B</c:v>
                  </c:pt>
                  <c:pt idx="45">
                    <c:v>Yogesh R</c:v>
                  </c:pt>
                  <c:pt idx="46">
                    <c:v>Nilesh Kumar</c:v>
                  </c:pt>
                  <c:pt idx="47">
                    <c:v>Sriharish Ramesh</c:v>
                  </c:pt>
                  <c:pt idx="48">
                    <c:v>Diwakar S</c:v>
                  </c:pt>
                  <c:pt idx="49">
                    <c:v>Mohamed Idris P</c:v>
                  </c:pt>
                  <c:pt idx="50">
                    <c:v>Yogesh R</c:v>
                  </c:pt>
                  <c:pt idx="51">
                    <c:v>Nilesh Kumar</c:v>
                  </c:pt>
                  <c:pt idx="52">
                    <c:v>Kumanan</c:v>
                  </c:pt>
                  <c:pt idx="53">
                    <c:v>Kumanan</c:v>
                  </c:pt>
                  <c:pt idx="54">
                    <c:v>S Balaji</c:v>
                  </c:pt>
                  <c:pt idx="55">
                    <c:v>Prashant S</c:v>
                  </c:pt>
                  <c:pt idx="56">
                    <c:v>Prasannakumar Reddy Y</c:v>
                  </c:pt>
                  <c:pt idx="57">
                    <c:v>Venkatesh P</c:v>
                  </c:pt>
                  <c:pt idx="58">
                    <c:v>Sreekanth Grandhi</c:v>
                  </c:pt>
                  <c:pt idx="59">
                    <c:v>Padachala Mohan</c:v>
                  </c:pt>
                  <c:pt idx="60">
                    <c:v>Itisree</c:v>
                  </c:pt>
                  <c:pt idx="61">
                    <c:v>Puneet S</c:v>
                  </c:pt>
                  <c:pt idx="62">
                    <c:v>Deepak nair</c:v>
                  </c:pt>
                  <c:pt idx="63">
                    <c:v>Deepak nair</c:v>
                  </c:pt>
                  <c:pt idx="64">
                    <c:v>Sreekanth Grandhi</c:v>
                  </c:pt>
                  <c:pt idx="65">
                    <c:v>Padachala Mohan</c:v>
                  </c:pt>
                  <c:pt idx="66">
                    <c:v>Itisree</c:v>
                  </c:pt>
                  <c:pt idx="67">
                    <c:v>S Balaji</c:v>
                  </c:pt>
                  <c:pt idx="68">
                    <c:v>Prashant S</c:v>
                  </c:pt>
                  <c:pt idx="69">
                    <c:v>Prasannakumar Reddy Y</c:v>
                  </c:pt>
                  <c:pt idx="70">
                    <c:v>Venkatesh P</c:v>
                  </c:pt>
                  <c:pt idx="71">
                    <c:v>Raj Hans</c:v>
                  </c:pt>
                  <c:pt idx="72">
                    <c:v>Itisree</c:v>
                  </c:pt>
                  <c:pt idx="73">
                    <c:v>Padachala Mohan</c:v>
                  </c:pt>
                  <c:pt idx="74">
                    <c:v>Puneet S</c:v>
                  </c:pt>
                  <c:pt idx="75">
                    <c:v>Raj Hans</c:v>
                  </c:pt>
                  <c:pt idx="76">
                    <c:v>Giridhar</c:v>
                  </c:pt>
                  <c:pt idx="77">
                    <c:v>Mohamed Idris P</c:v>
                  </c:pt>
                  <c:pt idx="78">
                    <c:v>Sudhakar Sumaithangi</c:v>
                  </c:pt>
                  <c:pt idx="79">
                    <c:v>Giridhar</c:v>
                  </c:pt>
                  <c:pt idx="80">
                    <c:v>Giridhar</c:v>
                  </c:pt>
                  <c:pt idx="81">
                    <c:v>Sankar Rajaraman</c:v>
                  </c:pt>
                  <c:pt idx="82">
                    <c:v>Yogesh R</c:v>
                  </c:pt>
                  <c:pt idx="83">
                    <c:v>Deepak nair</c:v>
                  </c:pt>
                </c:lvl>
                <c:lvl>
                  <c:pt idx="0">
                    <c:v>Code development</c:v>
                  </c:pt>
                  <c:pt idx="15">
                    <c:v>Test case creation</c:v>
                  </c:pt>
                  <c:pt idx="17">
                    <c:v>Test case review</c:v>
                  </c:pt>
                  <c:pt idx="20">
                    <c:v>Manual testing</c:v>
                  </c:pt>
                  <c:pt idx="26">
                    <c:v>Resolving impediments</c:v>
                  </c:pt>
                  <c:pt idx="36">
                    <c:v>Others (such as -Analysis, Design, CI)</c:v>
                  </c:pt>
                  <c:pt idx="49">
                    <c:v>Sprint rework</c:v>
                  </c:pt>
                  <c:pt idx="52">
                    <c:v>Develop required service to retrieve data from DA layer</c:v>
                  </c:pt>
                  <c:pt idx="53">
                    <c:v>File Upload UI</c:v>
                  </c:pt>
                  <c:pt idx="54">
                    <c:v>UI to search specific node - first level search</c:v>
                  </c:pt>
                  <c:pt idx="55">
                    <c:v>UI grid to display node search result</c:v>
                  </c:pt>
                  <c:pt idx="56">
                    <c:v>UI Grid for presenting the response data</c:v>
                  </c:pt>
                  <c:pt idx="57">
                    <c:v>UI Changes for multi select</c:v>
                  </c:pt>
                  <c:pt idx="58">
                    <c:v>UI to plot sankey</c:v>
                  </c:pt>
                  <c:pt idx="59">
                    <c:v>Zoom in / out for sankey </c:v>
                  </c:pt>
                  <c:pt idx="60">
                    <c:v>Traceability for multi select</c:v>
                  </c:pt>
                  <c:pt idx="61">
                    <c:v>UI changes to Hide nodes in between existing sankey for proper view</c:v>
                  </c:pt>
                  <c:pt idx="62">
                    <c:v>Swapping TIRL and TC</c:v>
                  </c:pt>
                  <c:pt idx="63">
                    <c:v>UI changes for finding concurrent and compatiple TR's</c:v>
                  </c:pt>
                  <c:pt idx="64">
                    <c:v>UI To display parent child relation</c:v>
                  </c:pt>
                  <c:pt idx="65">
                    <c:v>Identify the changes required to convert FTCS TIRL interface from SQOOP based interface to file based interface</c:v>
                  </c:pt>
                  <c:pt idx="66">
                    <c:v>FTCS TIRL conversion from SQOOP based interface to File based interface</c:v>
                  </c:pt>
                  <c:pt idx="67">
                    <c:v>Convert Excel file to CSV(Should support both xls format and xlsx format)</c:v>
                  </c:pt>
                  <c:pt idx="68">
                    <c:v>Execute test cases for AETP WSRD,AETP OPT</c:v>
                  </c:pt>
                  <c:pt idx="69">
                    <c:v>Execute test cases for FTCS FTP, FTCS TIRL</c:v>
                  </c:pt>
                  <c:pt idx="70">
                    <c:v>Execute test cases for TPERT TCM, DOORS</c:v>
                  </c:pt>
                  <c:pt idx="71">
                    <c:v>Execute test cases for Neo4J module</c:v>
                  </c:pt>
                  <c:pt idx="72">
                    <c:v>Prepare and execute testcases for AETP WSRD interface</c:v>
                  </c:pt>
                  <c:pt idx="73">
                    <c:v>Prepare and execute testcases for DOORS interface</c:v>
                  </c:pt>
                  <c:pt idx="74">
                    <c:v>Prepare and execute testcases for AETP OPT interface</c:v>
                  </c:pt>
                  <c:pt idx="75">
                    <c:v>Prepare and execute testcases for FTCS FTP interface</c:v>
                  </c:pt>
                  <c:pt idx="76">
                    <c:v>Sprint Review and Rework</c:v>
                  </c:pt>
                  <c:pt idx="78">
                    <c:v>Sprint Management Activities</c:v>
                  </c:pt>
                  <c:pt idx="80">
                    <c:v>Sprint Support Activities</c:v>
                  </c:pt>
                </c:lvl>
              </c:multiLvlStrCache>
            </c:multiLvlStrRef>
          </c:cat>
          <c:val>
            <c:numRef>
              <c:f>Dashboard!$AG$200:$AG$284</c:f>
              <c:numCache>
                <c:formatCode>0.00</c:formatCode>
                <c:ptCount val="84"/>
                <c:pt idx="0">
                  <c:v>0.14304264882057938</c:v>
                </c:pt>
                <c:pt idx="1">
                  <c:v>0.15749908209699717</c:v>
                </c:pt>
                <c:pt idx="2">
                  <c:v>0.14874912098571322</c:v>
                </c:pt>
                <c:pt idx="3">
                  <c:v>0.13999899039189626</c:v>
                </c:pt>
                <c:pt idx="4">
                  <c:v>0.14266904159386834</c:v>
                </c:pt>
                <c:pt idx="5">
                  <c:v>0.14087417777616906</c:v>
                </c:pt>
                <c:pt idx="6">
                  <c:v>0.13999937778054317</c:v>
                </c:pt>
                <c:pt idx="7">
                  <c:v>0.14988148171223903</c:v>
                </c:pt>
                <c:pt idx="8">
                  <c:v>0.14000107029858225</c:v>
                </c:pt>
                <c:pt idx="9">
                  <c:v>0.140001167945139</c:v>
                </c:pt>
                <c:pt idx="10">
                  <c:v>0.13222330900709406</c:v>
                </c:pt>
                <c:pt idx="11">
                  <c:v>0.140001167945139</c:v>
                </c:pt>
                <c:pt idx="12">
                  <c:v>0.140001167945139</c:v>
                </c:pt>
                <c:pt idx="13">
                  <c:v>0.140001167945139</c:v>
                </c:pt>
                <c:pt idx="14">
                  <c:v>0.140001167945139</c:v>
                </c:pt>
                <c:pt idx="15">
                  <c:v>0.14591708220999089</c:v>
                </c:pt>
                <c:pt idx="16">
                  <c:v>0.14300741718903581</c:v>
                </c:pt>
                <c:pt idx="17">
                  <c:v>0.14934660858743001</c:v>
                </c:pt>
                <c:pt idx="18">
                  <c:v>0.14002019522046449</c:v>
                </c:pt>
                <c:pt idx="19">
                  <c:v>0.15864049159075827</c:v>
                </c:pt>
                <c:pt idx="20">
                  <c:v>0.14000373343289155</c:v>
                </c:pt>
                <c:pt idx="21">
                  <c:v>0.14865166148963754</c:v>
                </c:pt>
                <c:pt idx="22">
                  <c:v>0.13999500172567689</c:v>
                </c:pt>
                <c:pt idx="23">
                  <c:v>0.13999500172567686</c:v>
                </c:pt>
                <c:pt idx="24">
                  <c:v>0.13999729473826591</c:v>
                </c:pt>
                <c:pt idx="25">
                  <c:v>0.13999270871308783</c:v>
                </c:pt>
                <c:pt idx="26">
                  <c:v>0.16099241644528547</c:v>
                </c:pt>
                <c:pt idx="27">
                  <c:v>0.12249448252817899</c:v>
                </c:pt>
                <c:pt idx="28">
                  <c:v>0.13999192354287252</c:v>
                </c:pt>
                <c:pt idx="29">
                  <c:v>9.3327949028581672E-2</c:v>
                </c:pt>
                <c:pt idx="30">
                  <c:v>0.18665589805716337</c:v>
                </c:pt>
                <c:pt idx="31">
                  <c:v>0.13999192354287252</c:v>
                </c:pt>
                <c:pt idx="32">
                  <c:v>0.16799030825144701</c:v>
                </c:pt>
                <c:pt idx="33">
                  <c:v>0.14000913103028459</c:v>
                </c:pt>
                <c:pt idx="34">
                  <c:v>0.14000668965251581</c:v>
                </c:pt>
                <c:pt idx="35">
                  <c:v>0.18200710965272085</c:v>
                </c:pt>
                <c:pt idx="36">
                  <c:v>0.14001680201624192</c:v>
                </c:pt>
                <c:pt idx="37">
                  <c:v>0.14001680201624195</c:v>
                </c:pt>
                <c:pt idx="38">
                  <c:v>0.1600015384763315</c:v>
                </c:pt>
                <c:pt idx="39">
                  <c:v>0.14000036197366661</c:v>
                </c:pt>
                <c:pt idx="40">
                  <c:v>0.1633339196681316</c:v>
                </c:pt>
                <c:pt idx="41">
                  <c:v>0.14000134616679005</c:v>
                </c:pt>
                <c:pt idx="42">
                  <c:v>0.15750151443763882</c:v>
                </c:pt>
                <c:pt idx="43">
                  <c:v>0.14000036197366661</c:v>
                </c:pt>
                <c:pt idx="44">
                  <c:v>0.14823463529704572</c:v>
                </c:pt>
                <c:pt idx="45">
                  <c:v>0.1539993155585975</c:v>
                </c:pt>
                <c:pt idx="46">
                  <c:v>0.16800584368151938</c:v>
                </c:pt>
                <c:pt idx="47">
                  <c:v>0.14000899798259178</c:v>
                </c:pt>
                <c:pt idx="48">
                  <c:v>0.1400131262305841</c:v>
                </c:pt>
                <c:pt idx="49">
                  <c:v>0.13999192354287249</c:v>
                </c:pt>
                <c:pt idx="50">
                  <c:v>0.13999192354287252</c:v>
                </c:pt>
                <c:pt idx="51">
                  <c:v>0.14560417958818433</c:v>
                </c:pt>
                <c:pt idx="52">
                  <c:v>0.13999569244023263</c:v>
                </c:pt>
                <c:pt idx="53">
                  <c:v>0.14000700035001751</c:v>
                </c:pt>
                <c:pt idx="54">
                  <c:v>0.1456026473208604</c:v>
                </c:pt>
                <c:pt idx="55">
                  <c:v>0.1399906672888474</c:v>
                </c:pt>
                <c:pt idx="56">
                  <c:v>0.14310670782779336</c:v>
                </c:pt>
                <c:pt idx="57">
                  <c:v>0.14000700035001751</c:v>
                </c:pt>
                <c:pt idx="58">
                  <c:v>0.14199716005679885</c:v>
                </c:pt>
                <c:pt idx="59">
                  <c:v>0.14199716005679885</c:v>
                </c:pt>
                <c:pt idx="60">
                  <c:v>0.14000700035001751</c:v>
                </c:pt>
                <c:pt idx="61">
                  <c:v>0.14310670782779336</c:v>
                </c:pt>
                <c:pt idx="62">
                  <c:v>0.14310670782779336</c:v>
                </c:pt>
                <c:pt idx="63">
                  <c:v>0.14932337844143723</c:v>
                </c:pt>
                <c:pt idx="64">
                  <c:v>0.1456026473208604</c:v>
                </c:pt>
                <c:pt idx="65">
                  <c:v>0.14000700035001751</c:v>
                </c:pt>
                <c:pt idx="66">
                  <c:v>0.1399906672888474</c:v>
                </c:pt>
                <c:pt idx="67">
                  <c:v>0.14310670782779336</c:v>
                </c:pt>
                <c:pt idx="68">
                  <c:v>0.13999569244023263</c:v>
                </c:pt>
                <c:pt idx="69">
                  <c:v>0.14000700035001751</c:v>
                </c:pt>
                <c:pt idx="70">
                  <c:v>0.1456026473208604</c:v>
                </c:pt>
                <c:pt idx="71">
                  <c:v>0.14199716005679885</c:v>
                </c:pt>
                <c:pt idx="72">
                  <c:v>0.15680784039201959</c:v>
                </c:pt>
                <c:pt idx="73">
                  <c:v>0.14699020065328977</c:v>
                </c:pt>
                <c:pt idx="74">
                  <c:v>0.14000700035001751</c:v>
                </c:pt>
                <c:pt idx="75">
                  <c:v>0.14310670782779336</c:v>
                </c:pt>
                <c:pt idx="76">
                  <c:v>0.13999502239920358</c:v>
                </c:pt>
                <c:pt idx="77">
                  <c:v>0.13999502239920358</c:v>
                </c:pt>
                <c:pt idx="78">
                  <c:v>0.1476644574840188</c:v>
                </c:pt>
                <c:pt idx="79">
                  <c:v>0.13999502239920358</c:v>
                </c:pt>
                <c:pt idx="80">
                  <c:v>0.14671543432025771</c:v>
                </c:pt>
                <c:pt idx="81">
                  <c:v>0.14466873231836266</c:v>
                </c:pt>
                <c:pt idx="82">
                  <c:v>0.14000373343289155</c:v>
                </c:pt>
              </c:numCache>
            </c:numRef>
          </c:val>
          <c:extLst>
            <c:ext xmlns:c16="http://schemas.microsoft.com/office/drawing/2014/chart" uri="{C3380CC4-5D6E-409C-BE32-E72D297353CC}">
              <c16:uniqueId val="{00000001-C978-4EC8-A386-E0A00D739F40}"/>
            </c:ext>
          </c:extLst>
        </c:ser>
        <c:dLbls>
          <c:dLblPos val="outEnd"/>
          <c:showLegendKey val="0"/>
          <c:showVal val="1"/>
          <c:showCatName val="0"/>
          <c:showSerName val="0"/>
          <c:showPercent val="0"/>
          <c:showBubbleSize val="0"/>
        </c:dLbls>
        <c:gapWidth val="100"/>
        <c:overlap val="-24"/>
        <c:axId val="1554675264"/>
        <c:axId val="1554689408"/>
      </c:barChart>
      <c:catAx>
        <c:axId val="15546752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54689408"/>
        <c:crosses val="autoZero"/>
        <c:auto val="1"/>
        <c:lblAlgn val="ctr"/>
        <c:lblOffset val="100"/>
        <c:noMultiLvlLbl val="0"/>
      </c:catAx>
      <c:valAx>
        <c:axId val="155468940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54675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[Data_Collection_ATLAS-Template.xlsm]Dashboard!PivotTable4</c:name>
    <c:fmtId val="4"/>
  </c:pivotSource>
  <c:chart>
    <c:title>
      <c:tx>
        <c:rich>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050"/>
              <a:t>Phase wise</a:t>
            </a:r>
            <a:r>
              <a:rPr lang="en-US" sz="1050" baseline="0"/>
              <a:t> effort %</a:t>
            </a:r>
            <a:endParaRPr lang="en-US" sz="1050"/>
          </a:p>
        </c:rich>
      </c:tx>
      <c:overlay val="0"/>
      <c:spPr>
        <a:noFill/>
        <a:ln>
          <a:noFill/>
        </a:ln>
        <a:effectLst/>
      </c:spPr>
      <c:txPr>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7"/>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23548163741916"/>
          <c:y val="0.30605667347137155"/>
          <c:w val="0.8242758827672837"/>
          <c:h val="0.64603480120540491"/>
        </c:manualLayout>
      </c:layout>
      <c:pie3DChart>
        <c:varyColors val="1"/>
        <c:ser>
          <c:idx val="0"/>
          <c:order val="0"/>
          <c:tx>
            <c:strRef>
              <c:f>Dashboard!$AJ$198</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5C7A-4507-91C7-B67E8A7C2C4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D17C-4DEB-A1B6-F79795B4C26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D17C-4DEB-A1B6-F79795B4C26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D17C-4DEB-A1B6-F79795B4C26F}"/>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D17C-4DEB-A1B6-F79795B4C26F}"/>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D17C-4DEB-A1B6-F79795B4C26F}"/>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D17C-4DEB-A1B6-F79795B4C26F}"/>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0249-4418-9B58-6D10CBEC2622}"/>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1-0249-4418-9B58-6D10CBEC2622}"/>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3-0249-4418-9B58-6D10CBEC2622}"/>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5-0249-4418-9B58-6D10CBEC2622}"/>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7-0249-4418-9B58-6D10CBEC2622}"/>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9-0249-4418-9B58-6D10CBEC2622}"/>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B-0249-4418-9B58-6D10CBEC2622}"/>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D-0249-4418-9B58-6D10CBEC2622}"/>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F-0249-4418-9B58-6D10CBEC2622}"/>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1-0249-4418-9B58-6D10CBEC2622}"/>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3-0249-4418-9B58-6D10CBEC2622}"/>
              </c:ext>
            </c:extLst>
          </c:dPt>
          <c:dPt>
            <c:idx val="18"/>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5-0249-4418-9B58-6D10CBEC2622}"/>
              </c:ext>
            </c:extLst>
          </c:dPt>
          <c:dPt>
            <c:idx val="19"/>
            <c:bubble3D val="0"/>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7-0249-4418-9B58-6D10CBEC2622}"/>
              </c:ext>
            </c:extLst>
          </c:dPt>
          <c:dPt>
            <c:idx val="2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9-0249-4418-9B58-6D10CBEC2622}"/>
              </c:ext>
            </c:extLst>
          </c:dPt>
          <c:dPt>
            <c:idx val="21"/>
            <c:bubble3D val="0"/>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B-0249-4418-9B58-6D10CBEC2622}"/>
              </c:ext>
            </c:extLst>
          </c:dPt>
          <c:dPt>
            <c:idx val="22"/>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D-0249-4418-9B58-6D10CBEC2622}"/>
              </c:ext>
            </c:extLst>
          </c:dPt>
          <c:dPt>
            <c:idx val="23"/>
            <c:bubble3D val="0"/>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2F-0249-4418-9B58-6D10CBEC2622}"/>
              </c:ext>
            </c:extLst>
          </c:dPt>
          <c:dPt>
            <c:idx val="24"/>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1-0249-4418-9B58-6D10CBEC2622}"/>
              </c:ext>
            </c:extLst>
          </c:dPt>
          <c:dPt>
            <c:idx val="25"/>
            <c:bubble3D val="0"/>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3-0249-4418-9B58-6D10CBEC2622}"/>
              </c:ext>
            </c:extLst>
          </c:dPt>
          <c:dPt>
            <c:idx val="26"/>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5-0249-4418-9B58-6D10CBEC2622}"/>
              </c:ext>
            </c:extLst>
          </c:dPt>
          <c:dPt>
            <c:idx val="27"/>
            <c:bubble3D val="0"/>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7-0249-4418-9B58-6D10CBEC2622}"/>
              </c:ext>
            </c:extLst>
          </c:dPt>
          <c:dPt>
            <c:idx val="28"/>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9-0249-4418-9B58-6D10CBEC2622}"/>
              </c:ext>
            </c:extLst>
          </c:dPt>
          <c:dPt>
            <c:idx val="29"/>
            <c:bubble3D val="0"/>
            <c:spPr>
              <a:gradFill rotWithShape="1">
                <a:gsLst>
                  <a:gs pos="0">
                    <a:schemeClr val="accent6">
                      <a:lumMod val="60000"/>
                      <a:lumOff val="40000"/>
                      <a:satMod val="103000"/>
                      <a:lumMod val="102000"/>
                      <a:tint val="94000"/>
                    </a:schemeClr>
                  </a:gs>
                  <a:gs pos="50000">
                    <a:schemeClr val="accent6">
                      <a:lumMod val="60000"/>
                      <a:lumOff val="40000"/>
                      <a:satMod val="110000"/>
                      <a:lumMod val="100000"/>
                      <a:shade val="100000"/>
                    </a:schemeClr>
                  </a:gs>
                  <a:gs pos="100000">
                    <a:schemeClr val="accent6">
                      <a:lumMod val="60000"/>
                      <a:lumOff val="4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B-0249-4418-9B58-6D10CBEC2622}"/>
              </c:ext>
            </c:extLst>
          </c:dPt>
          <c:dPt>
            <c:idx val="30"/>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D-0249-4418-9B58-6D10CBEC2622}"/>
              </c:ext>
            </c:extLst>
          </c:dPt>
          <c:dPt>
            <c:idx val="31"/>
            <c:bubble3D val="0"/>
            <c:spPr>
              <a:gradFill rotWithShape="1">
                <a:gsLst>
                  <a:gs pos="0">
                    <a:schemeClr val="accent2">
                      <a:lumMod val="50000"/>
                      <a:satMod val="103000"/>
                      <a:lumMod val="102000"/>
                      <a:tint val="94000"/>
                    </a:schemeClr>
                  </a:gs>
                  <a:gs pos="50000">
                    <a:schemeClr val="accent2">
                      <a:lumMod val="50000"/>
                      <a:satMod val="110000"/>
                      <a:lumMod val="100000"/>
                      <a:shade val="100000"/>
                    </a:schemeClr>
                  </a:gs>
                  <a:gs pos="100000">
                    <a:schemeClr val="accent2">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3F-0249-4418-9B58-6D10CBEC2622}"/>
              </c:ext>
            </c:extLst>
          </c:dPt>
          <c:dPt>
            <c:idx val="32"/>
            <c:bubble3D val="0"/>
            <c:spPr>
              <a:gradFill rotWithShape="1">
                <a:gsLst>
                  <a:gs pos="0">
                    <a:schemeClr val="accent3">
                      <a:lumMod val="50000"/>
                      <a:satMod val="103000"/>
                      <a:lumMod val="102000"/>
                      <a:tint val="94000"/>
                    </a:schemeClr>
                  </a:gs>
                  <a:gs pos="50000">
                    <a:schemeClr val="accent3">
                      <a:lumMod val="50000"/>
                      <a:satMod val="110000"/>
                      <a:lumMod val="100000"/>
                      <a:shade val="100000"/>
                    </a:schemeClr>
                  </a:gs>
                  <a:gs pos="100000">
                    <a:schemeClr val="accent3">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41-0249-4418-9B58-6D10CBEC2622}"/>
              </c:ext>
            </c:extLst>
          </c:dPt>
          <c:dPt>
            <c:idx val="33"/>
            <c:bubble3D val="0"/>
            <c:spPr>
              <a:gradFill rotWithShape="1">
                <a:gsLst>
                  <a:gs pos="0">
                    <a:schemeClr val="accent4">
                      <a:lumMod val="50000"/>
                      <a:satMod val="103000"/>
                      <a:lumMod val="102000"/>
                      <a:tint val="94000"/>
                    </a:schemeClr>
                  </a:gs>
                  <a:gs pos="50000">
                    <a:schemeClr val="accent4">
                      <a:lumMod val="50000"/>
                      <a:satMod val="110000"/>
                      <a:lumMod val="100000"/>
                      <a:shade val="100000"/>
                    </a:schemeClr>
                  </a:gs>
                  <a:gs pos="100000">
                    <a:schemeClr val="accent4">
                      <a:lumMod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43-0249-4418-9B58-6D10CBEC262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Dashboard!$AI$199:$AI$233</c:f>
              <c:strCache>
                <c:ptCount val="34"/>
                <c:pt idx="0">
                  <c:v>Code development</c:v>
                </c:pt>
                <c:pt idx="1">
                  <c:v>Test case creation</c:v>
                </c:pt>
                <c:pt idx="2">
                  <c:v>Test case review</c:v>
                </c:pt>
                <c:pt idx="3">
                  <c:v>Manual testing</c:v>
                </c:pt>
                <c:pt idx="4">
                  <c:v>Resolving impediments</c:v>
                </c:pt>
                <c:pt idx="5">
                  <c:v>Others (such as -Analysis, Design, CI)</c:v>
                </c:pt>
                <c:pt idx="6">
                  <c:v>Sprint rework</c:v>
                </c:pt>
                <c:pt idx="7">
                  <c:v>Develop required service to retrieve data from DA layer</c:v>
                </c:pt>
                <c:pt idx="8">
                  <c:v>File Upload UI</c:v>
                </c:pt>
                <c:pt idx="9">
                  <c:v>UI to search specific node - first level search</c:v>
                </c:pt>
                <c:pt idx="10">
                  <c:v>UI grid to display node search result</c:v>
                </c:pt>
                <c:pt idx="11">
                  <c:v>UI Grid for presenting the response data</c:v>
                </c:pt>
                <c:pt idx="12">
                  <c:v>UI Changes for multi select</c:v>
                </c:pt>
                <c:pt idx="13">
                  <c:v>UI to plot sankey</c:v>
                </c:pt>
                <c:pt idx="14">
                  <c:v>Zoom in / out for sankey </c:v>
                </c:pt>
                <c:pt idx="15">
                  <c:v>Traceability for multi select</c:v>
                </c:pt>
                <c:pt idx="16">
                  <c:v>UI changes to Hide nodes in between existing sankey for proper view</c:v>
                </c:pt>
                <c:pt idx="17">
                  <c:v>Swapping TIRL and TC</c:v>
                </c:pt>
                <c:pt idx="18">
                  <c:v>UI changes for finding concurrent and compatiple TR's</c:v>
                </c:pt>
                <c:pt idx="19">
                  <c:v>UI To display parent child relation</c:v>
                </c:pt>
                <c:pt idx="20">
                  <c:v>Identify the changes required to convert FTCS TIRL interface from SQOOP based interface to file based interface</c:v>
                </c:pt>
                <c:pt idx="21">
                  <c:v>FTCS TIRL conversion from SQOOP based interface to File based interface</c:v>
                </c:pt>
                <c:pt idx="22">
                  <c:v>Convert Excel file to CSV(Should support both xls format and xlsx format)</c:v>
                </c:pt>
                <c:pt idx="23">
                  <c:v>Execute test cases for AETP WSRD,AETP OPT</c:v>
                </c:pt>
                <c:pt idx="24">
                  <c:v>Execute test cases for FTCS FTP, FTCS TIRL</c:v>
                </c:pt>
                <c:pt idx="25">
                  <c:v>Execute test cases for TPERT TCM, DOORS</c:v>
                </c:pt>
                <c:pt idx="26">
                  <c:v>Execute test cases for Neo4J module</c:v>
                </c:pt>
                <c:pt idx="27">
                  <c:v>Prepare and execute testcases for AETP WSRD interface</c:v>
                </c:pt>
                <c:pt idx="28">
                  <c:v>Prepare and execute testcases for DOORS interface</c:v>
                </c:pt>
                <c:pt idx="29">
                  <c:v>Prepare and execute testcases for AETP OPT interface</c:v>
                </c:pt>
                <c:pt idx="30">
                  <c:v>Prepare and execute testcases for FTCS FTP interface</c:v>
                </c:pt>
                <c:pt idx="31">
                  <c:v>Sprint Review and Rework</c:v>
                </c:pt>
                <c:pt idx="32">
                  <c:v>Sprint Management Activities</c:v>
                </c:pt>
                <c:pt idx="33">
                  <c:v>Sprint Support Activities</c:v>
                </c:pt>
              </c:strCache>
            </c:strRef>
          </c:cat>
          <c:val>
            <c:numRef>
              <c:f>Dashboard!$AJ$199:$AJ$233</c:f>
              <c:numCache>
                <c:formatCode>General</c:formatCode>
                <c:ptCount val="34"/>
                <c:pt idx="0">
                  <c:v>70.931034482758619</c:v>
                </c:pt>
                <c:pt idx="1">
                  <c:v>50.2</c:v>
                </c:pt>
                <c:pt idx="2">
                  <c:v>16.25</c:v>
                </c:pt>
                <c:pt idx="3">
                  <c:v>44.888888888888886</c:v>
                </c:pt>
                <c:pt idx="4">
                  <c:v>28.214285714285715</c:v>
                </c:pt>
                <c:pt idx="5">
                  <c:v>37.277777777777779</c:v>
                </c:pt>
                <c:pt idx="6">
                  <c:v>28.5</c:v>
                </c:pt>
                <c:pt idx="7">
                  <c:v>90</c:v>
                </c:pt>
                <c:pt idx="8">
                  <c:v>85</c:v>
                </c:pt>
                <c:pt idx="9">
                  <c:v>75</c:v>
                </c:pt>
                <c:pt idx="10">
                  <c:v>64</c:v>
                </c:pt>
                <c:pt idx="11">
                  <c:v>90</c:v>
                </c:pt>
                <c:pt idx="12">
                  <c:v>85</c:v>
                </c:pt>
                <c:pt idx="13">
                  <c:v>70</c:v>
                </c:pt>
                <c:pt idx="14">
                  <c:v>70</c:v>
                </c:pt>
                <c:pt idx="15">
                  <c:v>85</c:v>
                </c:pt>
                <c:pt idx="16">
                  <c:v>90</c:v>
                </c:pt>
                <c:pt idx="17">
                  <c:v>90</c:v>
                </c:pt>
                <c:pt idx="18">
                  <c:v>60</c:v>
                </c:pt>
                <c:pt idx="19">
                  <c:v>75</c:v>
                </c:pt>
                <c:pt idx="20">
                  <c:v>85</c:v>
                </c:pt>
                <c:pt idx="21">
                  <c:v>64</c:v>
                </c:pt>
                <c:pt idx="22">
                  <c:v>90</c:v>
                </c:pt>
                <c:pt idx="23">
                  <c:v>92</c:v>
                </c:pt>
                <c:pt idx="24">
                  <c:v>85</c:v>
                </c:pt>
                <c:pt idx="25">
                  <c:v>75</c:v>
                </c:pt>
                <c:pt idx="26">
                  <c:v>70</c:v>
                </c:pt>
                <c:pt idx="27">
                  <c:v>25</c:v>
                </c:pt>
                <c:pt idx="28">
                  <c:v>20</c:v>
                </c:pt>
                <c:pt idx="29">
                  <c:v>85</c:v>
                </c:pt>
                <c:pt idx="30">
                  <c:v>90</c:v>
                </c:pt>
                <c:pt idx="31">
                  <c:v>40</c:v>
                </c:pt>
                <c:pt idx="32">
                  <c:v>38.4</c:v>
                </c:pt>
                <c:pt idx="33">
                  <c:v>44.875</c:v>
                </c:pt>
              </c:numCache>
            </c:numRef>
          </c:val>
          <c:extLst>
            <c:ext xmlns:c16="http://schemas.microsoft.com/office/drawing/2014/chart" uri="{C3380CC4-5D6E-409C-BE32-E72D297353CC}">
              <c16:uniqueId val="{00000001-6E6D-4AF8-B792-5274931AF163}"/>
            </c:ext>
          </c:extLst>
        </c:ser>
        <c:dLbls>
          <c:showLegendKey val="0"/>
          <c:showVal val="0"/>
          <c:showCatName val="1"/>
          <c:showSerName val="0"/>
          <c:showPercent val="1"/>
          <c:showBubbleSize val="0"/>
          <c:showLeaderLines val="1"/>
        </c:dLbls>
      </c:pie3DChart>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[Data_Collection_ATLAS-Template.xlsm]Dashboard!ILP_Dashboard_1</c:name>
    <c:fmtId val="5"/>
  </c:pivotSource>
  <c:chart>
    <c:title>
      <c:tx>
        <c:rich>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050"/>
              <a:t>ILP Resource wise</a:t>
            </a:r>
          </a:p>
        </c:rich>
      </c:tx>
      <c:layout>
        <c:manualLayout>
          <c:xMode val="edge"/>
          <c:yMode val="edge"/>
          <c:x val="0.42370046964468422"/>
          <c:y val="1.8502331002331004E-2"/>
        </c:manualLayout>
      </c:layout>
      <c:overlay val="0"/>
      <c:spPr>
        <a:noFill/>
        <a:ln>
          <a:noFill/>
        </a:ln>
        <a:effectLst/>
      </c:spPr>
      <c:txPr>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s>
    <c:plotArea>
      <c:layout/>
      <c:barChart>
        <c:barDir val="col"/>
        <c:grouping val="clustered"/>
        <c:varyColors val="0"/>
        <c:ser>
          <c:idx val="0"/>
          <c:order val="0"/>
          <c:tx>
            <c:strRef>
              <c:f>Dashboard!$AB$198</c:f>
              <c:strCache>
                <c:ptCount val="1"/>
                <c:pt idx="0">
                  <c:v>Average of ILP Score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Dashboard!$AA$199:$AA$229</c:f>
              <c:strCache>
                <c:ptCount val="30"/>
                <c:pt idx="0">
                  <c:v>Sudhakar Sumaithangi</c:v>
                </c:pt>
                <c:pt idx="1">
                  <c:v>Sreekanth Grandhi</c:v>
                </c:pt>
                <c:pt idx="2">
                  <c:v>Giridhar</c:v>
                </c:pt>
                <c:pt idx="3">
                  <c:v>Sankar Rajaraman</c:v>
                </c:pt>
                <c:pt idx="4">
                  <c:v>Kaushik C</c:v>
                </c:pt>
                <c:pt idx="5">
                  <c:v>Palraj A</c:v>
                </c:pt>
                <c:pt idx="6">
                  <c:v>Vasudev A</c:v>
                </c:pt>
                <c:pt idx="7">
                  <c:v>Kumanan</c:v>
                </c:pt>
                <c:pt idx="8">
                  <c:v>Mohamed Idris P</c:v>
                </c:pt>
                <c:pt idx="9">
                  <c:v>Thangamani S</c:v>
                </c:pt>
                <c:pt idx="10">
                  <c:v>Sudhakar B</c:v>
                </c:pt>
                <c:pt idx="11">
                  <c:v>Yogesh R</c:v>
                </c:pt>
                <c:pt idx="12">
                  <c:v>Karthikeyan Shanmugam</c:v>
                </c:pt>
                <c:pt idx="13">
                  <c:v>Navyasree C</c:v>
                </c:pt>
                <c:pt idx="14">
                  <c:v>G Ramalinngam</c:v>
                </c:pt>
                <c:pt idx="15">
                  <c:v>Nilesh Kumar</c:v>
                </c:pt>
                <c:pt idx="16">
                  <c:v>Sriharish Ramesh</c:v>
                </c:pt>
                <c:pt idx="17">
                  <c:v>Srividhya R</c:v>
                </c:pt>
                <c:pt idx="18">
                  <c:v>Sangilimurugan</c:v>
                </c:pt>
                <c:pt idx="19">
                  <c:v>Diwakar S</c:v>
                </c:pt>
                <c:pt idx="20">
                  <c:v>T Lakshmi Priya</c:v>
                </c:pt>
                <c:pt idx="21">
                  <c:v>Deepak nair</c:v>
                </c:pt>
                <c:pt idx="22">
                  <c:v>S Balaji</c:v>
                </c:pt>
                <c:pt idx="23">
                  <c:v>Prashant S</c:v>
                </c:pt>
                <c:pt idx="24">
                  <c:v>Prasannakumar Reddy Y</c:v>
                </c:pt>
                <c:pt idx="25">
                  <c:v>Venkatesh P</c:v>
                </c:pt>
                <c:pt idx="26">
                  <c:v>Puneet S</c:v>
                </c:pt>
                <c:pt idx="27">
                  <c:v>Raj Hans</c:v>
                </c:pt>
                <c:pt idx="28">
                  <c:v>Padachala Mohan</c:v>
                </c:pt>
                <c:pt idx="29">
                  <c:v>Itisree</c:v>
                </c:pt>
              </c:strCache>
            </c:strRef>
          </c:cat>
          <c:val>
            <c:numRef>
              <c:f>Dashboard!$AB$199:$AB$229</c:f>
              <c:numCache>
                <c:formatCode>0.00</c:formatCode>
                <c:ptCount val="30"/>
                <c:pt idx="0">
                  <c:v>1.0546875</c:v>
                </c:pt>
                <c:pt idx="1">
                  <c:v>1.0180952380952382</c:v>
                </c:pt>
                <c:pt idx="2">
                  <c:v>1.0350694444444444</c:v>
                </c:pt>
                <c:pt idx="3">
                  <c:v>1.0249999999999999</c:v>
                </c:pt>
                <c:pt idx="4">
                  <c:v>1.097267080745342</c:v>
                </c:pt>
                <c:pt idx="5">
                  <c:v>1</c:v>
                </c:pt>
                <c:pt idx="6">
                  <c:v>1.0916666666666666</c:v>
                </c:pt>
                <c:pt idx="7">
                  <c:v>0.93333333333333324</c:v>
                </c:pt>
                <c:pt idx="8">
                  <c:v>1.0709249084249084</c:v>
                </c:pt>
                <c:pt idx="9">
                  <c:v>1.0024999999999999</c:v>
                </c:pt>
                <c:pt idx="10">
                  <c:v>1.0294117647058825</c:v>
                </c:pt>
                <c:pt idx="11">
                  <c:v>1.0735294117647058</c:v>
                </c:pt>
                <c:pt idx="12">
                  <c:v>1.0417632721003507</c:v>
                </c:pt>
                <c:pt idx="13">
                  <c:v>1</c:v>
                </c:pt>
                <c:pt idx="14">
                  <c:v>1</c:v>
                </c:pt>
                <c:pt idx="15">
                  <c:v>1.0337777777777777</c:v>
                </c:pt>
                <c:pt idx="16">
                  <c:v>1.0444444444444445</c:v>
                </c:pt>
                <c:pt idx="17">
                  <c:v>1</c:v>
                </c:pt>
                <c:pt idx="18">
                  <c:v>1</c:v>
                </c:pt>
                <c:pt idx="19">
                  <c:v>1.0107142857142857</c:v>
                </c:pt>
                <c:pt idx="20">
                  <c:v>1.075</c:v>
                </c:pt>
                <c:pt idx="21">
                  <c:v>1.0444444444444443</c:v>
                </c:pt>
                <c:pt idx="22">
                  <c:v>1.0311111111111111</c:v>
                </c:pt>
                <c:pt idx="23">
                  <c:v>1</c:v>
                </c:pt>
                <c:pt idx="24">
                  <c:v>1.0111111111111111</c:v>
                </c:pt>
                <c:pt idx="25">
                  <c:v>1.02</c:v>
                </c:pt>
                <c:pt idx="26">
                  <c:v>1.0111111111111111</c:v>
                </c:pt>
                <c:pt idx="27">
                  <c:v>1.0182539682539682</c:v>
                </c:pt>
                <c:pt idx="28">
                  <c:v>1.0214285714285714</c:v>
                </c:pt>
                <c:pt idx="29">
                  <c:v>1.04</c:v>
                </c:pt>
              </c:numCache>
            </c:numRef>
          </c:val>
          <c:extLst>
            <c:ext xmlns:c16="http://schemas.microsoft.com/office/drawing/2014/chart" uri="{C3380CC4-5D6E-409C-BE32-E72D297353CC}">
              <c16:uniqueId val="{00000002-FFA0-403A-B448-7ED46127C7C7}"/>
            </c:ext>
          </c:extLst>
        </c:ser>
        <c:dLbls>
          <c:dLblPos val="outEnd"/>
          <c:showLegendKey val="0"/>
          <c:showVal val="1"/>
          <c:showCatName val="0"/>
          <c:showSerName val="0"/>
          <c:showPercent val="0"/>
          <c:showBubbleSize val="0"/>
        </c:dLbls>
        <c:gapWidth val="219"/>
        <c:axId val="1301804063"/>
        <c:axId val="1301799487"/>
      </c:barChart>
      <c:lineChart>
        <c:grouping val="standard"/>
        <c:varyColors val="0"/>
        <c:ser>
          <c:idx val="1"/>
          <c:order val="1"/>
          <c:tx>
            <c:strRef>
              <c:f>Dashboard!$AC$198</c:f>
              <c:strCache>
                <c:ptCount val="1"/>
                <c:pt idx="0">
                  <c:v>Average of ILP Goal</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dLbls>
            <c:delete val="1"/>
          </c:dLbls>
          <c:cat>
            <c:strRef>
              <c:f>Dashboard!$AA$199:$AA$229</c:f>
              <c:strCache>
                <c:ptCount val="30"/>
                <c:pt idx="0">
                  <c:v>Sudhakar Sumaithangi</c:v>
                </c:pt>
                <c:pt idx="1">
                  <c:v>Sreekanth Grandhi</c:v>
                </c:pt>
                <c:pt idx="2">
                  <c:v>Giridhar</c:v>
                </c:pt>
                <c:pt idx="3">
                  <c:v>Sankar Rajaraman</c:v>
                </c:pt>
                <c:pt idx="4">
                  <c:v>Kaushik C</c:v>
                </c:pt>
                <c:pt idx="5">
                  <c:v>Palraj A</c:v>
                </c:pt>
                <c:pt idx="6">
                  <c:v>Vasudev A</c:v>
                </c:pt>
                <c:pt idx="7">
                  <c:v>Kumanan</c:v>
                </c:pt>
                <c:pt idx="8">
                  <c:v>Mohamed Idris P</c:v>
                </c:pt>
                <c:pt idx="9">
                  <c:v>Thangamani S</c:v>
                </c:pt>
                <c:pt idx="10">
                  <c:v>Sudhakar B</c:v>
                </c:pt>
                <c:pt idx="11">
                  <c:v>Yogesh R</c:v>
                </c:pt>
                <c:pt idx="12">
                  <c:v>Karthikeyan Shanmugam</c:v>
                </c:pt>
                <c:pt idx="13">
                  <c:v>Navyasree C</c:v>
                </c:pt>
                <c:pt idx="14">
                  <c:v>G Ramalinngam</c:v>
                </c:pt>
                <c:pt idx="15">
                  <c:v>Nilesh Kumar</c:v>
                </c:pt>
                <c:pt idx="16">
                  <c:v>Sriharish Ramesh</c:v>
                </c:pt>
                <c:pt idx="17">
                  <c:v>Srividhya R</c:v>
                </c:pt>
                <c:pt idx="18">
                  <c:v>Sangilimurugan</c:v>
                </c:pt>
                <c:pt idx="19">
                  <c:v>Diwakar S</c:v>
                </c:pt>
                <c:pt idx="20">
                  <c:v>T Lakshmi Priya</c:v>
                </c:pt>
                <c:pt idx="21">
                  <c:v>Deepak nair</c:v>
                </c:pt>
                <c:pt idx="22">
                  <c:v>S Balaji</c:v>
                </c:pt>
                <c:pt idx="23">
                  <c:v>Prashant S</c:v>
                </c:pt>
                <c:pt idx="24">
                  <c:v>Prasannakumar Reddy Y</c:v>
                </c:pt>
                <c:pt idx="25">
                  <c:v>Venkatesh P</c:v>
                </c:pt>
                <c:pt idx="26">
                  <c:v>Puneet S</c:v>
                </c:pt>
                <c:pt idx="27">
                  <c:v>Raj Hans</c:v>
                </c:pt>
                <c:pt idx="28">
                  <c:v>Padachala Mohan</c:v>
                </c:pt>
                <c:pt idx="29">
                  <c:v>Itisree</c:v>
                </c:pt>
              </c:strCache>
            </c:strRef>
          </c:cat>
          <c:val>
            <c:numRef>
              <c:f>Dashboard!$AC$199:$AC$229</c:f>
              <c:numCache>
                <c:formatCode>General</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numCache>
            </c:numRef>
          </c:val>
          <c:smooth val="0"/>
          <c:extLst>
            <c:ext xmlns:c16="http://schemas.microsoft.com/office/drawing/2014/chart" uri="{C3380CC4-5D6E-409C-BE32-E72D297353CC}">
              <c16:uniqueId val="{00000003-FFA0-403A-B448-7ED46127C7C7}"/>
            </c:ext>
          </c:extLst>
        </c:ser>
        <c:dLbls>
          <c:showLegendKey val="0"/>
          <c:showVal val="1"/>
          <c:showCatName val="0"/>
          <c:showSerName val="0"/>
          <c:showPercent val="0"/>
          <c:showBubbleSize val="0"/>
        </c:dLbls>
        <c:marker val="1"/>
        <c:smooth val="0"/>
        <c:axId val="1301804063"/>
        <c:axId val="1301799487"/>
      </c:lineChart>
      <c:catAx>
        <c:axId val="130180406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01799487"/>
        <c:crosses val="autoZero"/>
        <c:auto val="1"/>
        <c:lblAlgn val="ctr"/>
        <c:lblOffset val="100"/>
        <c:noMultiLvlLbl val="0"/>
      </c:catAx>
      <c:valAx>
        <c:axId val="1301799487"/>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01804063"/>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2</xdr:col>
      <xdr:colOff>847725</xdr:colOff>
      <xdr:row>1</xdr:row>
      <xdr:rowOff>19051</xdr:rowOff>
    </xdr:from>
    <xdr:to>
      <xdr:col>5</xdr:col>
      <xdr:colOff>390525</xdr:colOff>
      <xdr:row>9</xdr:row>
      <xdr:rowOff>187051</xdr:rowOff>
    </xdr:to>
    <mc:AlternateContent xmlns:mc="http://schemas.openxmlformats.org/markup-compatibility/2006" xmlns:a14="http://schemas.microsoft.com/office/drawing/2010/main">
      <mc:Choice Requires="a14">
        <xdr:graphicFrame macro="">
          <xdr:nvGraphicFramePr>
            <xdr:cNvPr id="6" name="Release / CR Name">
              <a:extLst>
                <a:ext uri="{FF2B5EF4-FFF2-40B4-BE49-F238E27FC236}">
                  <a16:creationId xmlns:a16="http://schemas.microsoft.com/office/drawing/2014/main" id="{00000000-0008-0000-0000-000006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Release / CR Name"/>
            </a:graphicData>
          </a:graphic>
        </xdr:graphicFrame>
      </mc:Choice>
      <mc:Fallback xmlns="">
        <xdr:sp macro="" textlink="">
          <xdr:nvSpPr>
            <xdr:cNvPr id="0" name=""/>
            <xdr:cNvSpPr>
              <a:spLocks noTextEdit="1"/>
            </xdr:cNvSpPr>
          </xdr:nvSpPr>
          <xdr:spPr>
            <a:xfrm>
              <a:off x="2476500" y="257176"/>
              <a:ext cx="2686050" cy="169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57150</xdr:colOff>
      <xdr:row>1</xdr:row>
      <xdr:rowOff>28574</xdr:rowOff>
    </xdr:from>
    <xdr:to>
      <xdr:col>2</xdr:col>
      <xdr:colOff>838200</xdr:colOff>
      <xdr:row>10</xdr:row>
      <xdr:rowOff>0</xdr:rowOff>
    </xdr:to>
    <mc:AlternateContent xmlns:mc="http://schemas.openxmlformats.org/markup-compatibility/2006" xmlns:a14="http://schemas.microsoft.com/office/drawing/2010/main">
      <mc:Choice Requires="a14">
        <xdr:graphicFrame macro="">
          <xdr:nvGraphicFramePr>
            <xdr:cNvPr id="7" name="Month">
              <a:extLst>
                <a:ext uri="{FF2B5EF4-FFF2-40B4-BE49-F238E27FC236}">
                  <a16:creationId xmlns:a16="http://schemas.microsoft.com/office/drawing/2014/main" id="{00000000-0008-0000-0000-000007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638175" y="266699"/>
              <a:ext cx="1828800" cy="16859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5</xdr:col>
      <xdr:colOff>409576</xdr:colOff>
      <xdr:row>1</xdr:row>
      <xdr:rowOff>19050</xdr:rowOff>
    </xdr:from>
    <xdr:to>
      <xdr:col>8</xdr:col>
      <xdr:colOff>571500</xdr:colOff>
      <xdr:row>9</xdr:row>
      <xdr:rowOff>187050</xdr:rowOff>
    </xdr:to>
    <mc:AlternateContent xmlns:mc="http://schemas.openxmlformats.org/markup-compatibility/2006" xmlns:a14="http://schemas.microsoft.com/office/drawing/2010/main">
      <mc:Choice Requires="a14">
        <xdr:graphicFrame macro="">
          <xdr:nvGraphicFramePr>
            <xdr:cNvPr id="8" name="Phase">
              <a:extLst>
                <a:ext uri="{FF2B5EF4-FFF2-40B4-BE49-F238E27FC236}">
                  <a16:creationId xmlns:a16="http://schemas.microsoft.com/office/drawing/2014/main" id="{00000000-0008-0000-0000-000008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Phase"/>
            </a:graphicData>
          </a:graphic>
        </xdr:graphicFrame>
      </mc:Choice>
      <mc:Fallback xmlns="">
        <xdr:sp macro="" textlink="">
          <xdr:nvSpPr>
            <xdr:cNvPr id="0" name=""/>
            <xdr:cNvSpPr>
              <a:spLocks noTextEdit="1"/>
            </xdr:cNvSpPr>
          </xdr:nvSpPr>
          <xdr:spPr>
            <a:xfrm>
              <a:off x="5181601" y="257175"/>
              <a:ext cx="3305174" cy="169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8</xdr:col>
      <xdr:colOff>590549</xdr:colOff>
      <xdr:row>1</xdr:row>
      <xdr:rowOff>19051</xdr:rowOff>
    </xdr:from>
    <xdr:to>
      <xdr:col>11</xdr:col>
      <xdr:colOff>1000124</xdr:colOff>
      <xdr:row>9</xdr:row>
      <xdr:rowOff>187051</xdr:rowOff>
    </xdr:to>
    <mc:AlternateContent xmlns:mc="http://schemas.openxmlformats.org/markup-compatibility/2006" xmlns:a14="http://schemas.microsoft.com/office/drawing/2010/main">
      <mc:Choice Requires="a14">
        <xdr:graphicFrame macro="">
          <xdr:nvGraphicFramePr>
            <xdr:cNvPr id="9" name="Resource Name">
              <a:extLst>
                <a:ext uri="{FF2B5EF4-FFF2-40B4-BE49-F238E27FC236}">
                  <a16:creationId xmlns:a16="http://schemas.microsoft.com/office/drawing/2014/main" id="{00000000-0008-0000-0000-000009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Resource Name"/>
            </a:graphicData>
          </a:graphic>
        </xdr:graphicFrame>
      </mc:Choice>
      <mc:Fallback xmlns="">
        <xdr:sp macro="" textlink="">
          <xdr:nvSpPr>
            <xdr:cNvPr id="0" name=""/>
            <xdr:cNvSpPr>
              <a:spLocks noTextEdit="1"/>
            </xdr:cNvSpPr>
          </xdr:nvSpPr>
          <xdr:spPr>
            <a:xfrm>
              <a:off x="8505824" y="257176"/>
              <a:ext cx="3552825" cy="169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66674</xdr:colOff>
      <xdr:row>20</xdr:row>
      <xdr:rowOff>190499</xdr:rowOff>
    </xdr:from>
    <xdr:to>
      <xdr:col>11</xdr:col>
      <xdr:colOff>981075</xdr:colOff>
      <xdr:row>32</xdr:row>
      <xdr:rowOff>85724</xdr:rowOff>
    </xdr:to>
    <xdr:graphicFrame macro="">
      <xdr:nvGraphicFramePr>
        <xdr:cNvPr id="13" name="Chart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609600</xdr:colOff>
      <xdr:row>10</xdr:row>
      <xdr:rowOff>28575</xdr:rowOff>
    </xdr:from>
    <xdr:to>
      <xdr:col>11</xdr:col>
      <xdr:colOff>971549</xdr:colOff>
      <xdr:row>20</xdr:row>
      <xdr:rowOff>180975</xdr:rowOff>
    </xdr:to>
    <xdr:graphicFrame macro="">
      <xdr:nvGraphicFramePr>
        <xdr:cNvPr id="16" name="Chart 15">
          <a:extLst>
            <a:ext uri="{FF2B5EF4-FFF2-40B4-BE49-F238E27FC236}">
              <a16:creationId xmlns:a16="http://schemas.microsoft.com/office/drawing/2014/main" id="{00000000-0008-0000-0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66675</xdr:colOff>
      <xdr:row>10</xdr:row>
      <xdr:rowOff>28573</xdr:rowOff>
    </xdr:from>
    <xdr:to>
      <xdr:col>8</xdr:col>
      <xdr:colOff>600075</xdr:colOff>
      <xdr:row>20</xdr:row>
      <xdr:rowOff>182773</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7</xdr:col>
      <xdr:colOff>114299</xdr:colOff>
      <xdr:row>0</xdr:row>
      <xdr:rowOff>28576</xdr:rowOff>
    </xdr:from>
    <xdr:to>
      <xdr:col>17</xdr:col>
      <xdr:colOff>190500</xdr:colOff>
      <xdr:row>7</xdr:row>
      <xdr:rowOff>66676</xdr:rowOff>
    </xdr:to>
    <mc:AlternateContent xmlns:mc="http://schemas.openxmlformats.org/markup-compatibility/2006" xmlns:tsle="http://schemas.microsoft.com/office/drawing/2012/timeslicer">
      <mc:Choice Requires="tsle">
        <xdr:graphicFrame macro="">
          <xdr:nvGraphicFramePr>
            <xdr:cNvPr id="3" name="Month 1">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2/timeslicer">
              <tsle:timeslicer name="Month 1"/>
            </a:graphicData>
          </a:graphic>
        </xdr:graphicFrame>
      </mc:Choice>
      <mc:Fallback xmlns="">
        <xdr:sp macro="" textlink="">
          <xdr:nvSpPr>
            <xdr:cNvPr id="0" name=""/>
            <xdr:cNvSpPr>
              <a:spLocks noTextEdit="1"/>
            </xdr:cNvSpPr>
          </xdr:nvSpPr>
          <xdr:spPr>
            <a:xfrm>
              <a:off x="6534149" y="28576"/>
              <a:ext cx="5743576" cy="1371600"/>
            </a:xfrm>
            <a:prstGeom prst="rect">
              <a:avLst/>
            </a:prstGeom>
            <a:solidFill>
              <a:prstClr val="white"/>
            </a:solidFill>
            <a:ln w="1">
              <a:solidFill>
                <a:prstClr val="green"/>
              </a:solidFill>
            </a:ln>
          </xdr:spPr>
          <xdr:txBody>
            <a:bodyPr vertOverflow="clip" horzOverflow="clip"/>
            <a:lstStyle/>
            <a:p>
              <a:r>
                <a:rPr lang="en-IN" sz="1100"/>
                <a:t>Timeline: Works in Excel or higher. Do not move or resize.</a:t>
              </a:r>
            </a:p>
          </xdr:txBody>
        </xdr:sp>
      </mc:Fallback>
    </mc:AlternateContent>
    <xdr:clientData fLocksWithSheet="0"/>
  </xdr:twoCellAnchor>
  <xdr:oneCellAnchor>
    <xdr:from>
      <xdr:col>8</xdr:col>
      <xdr:colOff>103477</xdr:colOff>
      <xdr:row>11</xdr:row>
      <xdr:rowOff>83635</xdr:rowOff>
    </xdr:from>
    <xdr:ext cx="5469959" cy="655885"/>
    <xdr:sp macro="" textlink="">
      <xdr:nvSpPr>
        <xdr:cNvPr id="2" name="Rectangle 1">
          <a:extLst>
            <a:ext uri="{FF2B5EF4-FFF2-40B4-BE49-F238E27FC236}">
              <a16:creationId xmlns:a16="http://schemas.microsoft.com/office/drawing/2014/main" id="{00000000-0008-0000-0400-000002000000}"/>
            </a:ext>
          </a:extLst>
        </xdr:cNvPr>
        <xdr:cNvSpPr/>
      </xdr:nvSpPr>
      <xdr:spPr>
        <a:xfrm>
          <a:off x="6704302" y="2179135"/>
          <a:ext cx="5469959" cy="655885"/>
        </a:xfrm>
        <a:prstGeom prst="rect">
          <a:avLst/>
        </a:prstGeom>
        <a:noFill/>
      </xdr:spPr>
      <xdr:txBody>
        <a:bodyPr wrap="none" lIns="91440" tIns="45720" rIns="91440" bIns="45720">
          <a:spAutoFit/>
        </a:bodyPr>
        <a:lstStyle/>
        <a:p>
          <a:pPr algn="ctr"/>
          <a:r>
            <a:rPr lang="en-US" sz="3600" b="0" cap="none" spc="0">
              <a:ln w="0"/>
              <a:solidFill>
                <a:schemeClr val="accent5"/>
              </a:solidFill>
              <a:effectLst>
                <a:reflection blurRad="6350" stA="53000" endA="300" endPos="35500" dir="5400000" sy="-90000" algn="bl" rotWithShape="0"/>
              </a:effectLst>
            </a:rPr>
            <a:t>This</a:t>
          </a:r>
          <a:r>
            <a:rPr lang="en-US" sz="3600" b="0" cap="none" spc="0" baseline="0">
              <a:ln w="0"/>
              <a:solidFill>
                <a:schemeClr val="accent5"/>
              </a:solidFill>
              <a:effectLst>
                <a:reflection blurRad="6350" stA="53000" endA="300" endPos="35500" dir="5400000" sy="-90000" algn="bl" rotWithShape="0"/>
              </a:effectLst>
            </a:rPr>
            <a:t> sheet is auto generated</a:t>
          </a:r>
          <a:endParaRPr lang="en-US" sz="3600" b="0" cap="none" spc="0">
            <a:ln w="0"/>
            <a:solidFill>
              <a:schemeClr val="accent5"/>
            </a:solidFill>
            <a:effectLst>
              <a:reflection blurRad="6350" stA="53000" endA="300" endPos="35500" dir="5400000" sy="-90000" algn="bl" rotWithShape="0"/>
            </a:effectLst>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IDM/Nippon/Data%20Collection%20Template/Final/Nippon_Data_Collection_Template_1.3b%20-%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ula"/>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Users\hareem\AppData\Local\Packages\microsoft.windowscommunicationsapps_8wekyb3d8bbwe\LocalState\Files\S0\3\Sample%20data%20used%20for%20presentation%20-%20Boeing%20SDES%20-%20Nippon_Data_Collection_Template_2.0%5b2049%5d.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file:///C:\Users\hareem\AppData\Local\Packages\microsoft.windowscommunicationsapps_8wekyb3d8bbwe\LocalState\Files\S0\3\Sample%20data%20used%20for%20presentation%20-%20Boeing%20SDES%20-%20Nippon_Data_Collection_Template_2.0%5b2049%5d.xlsm"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Poornima K" refreshedDate="43287.830833796295" createdVersion="6" refreshedVersion="6" minRefreshableVersion="3" recordCount="1083">
  <cacheSource type="worksheet">
    <worksheetSource ref="B1:O1048576" sheet="Data Collection" r:id="rId2"/>
  </cacheSource>
  <cacheFields count="14">
    <cacheField name="Release / CR Name" numFmtId="0">
      <sharedItems containsBlank="1"/>
    </cacheField>
    <cacheField name="Month" numFmtId="0">
      <sharedItems containsNonDate="0" containsDate="1" containsString="0" containsBlank="1" minDate="2018-05-01T00:00:00" maxDate="2018-07-02T00:00:00" count="4">
        <d v="2018-05-01T00:00:00"/>
        <d v="2018-06-01T00:00:00"/>
        <m/>
        <d v="2018-07-01T00:00:00" u="1"/>
      </sharedItems>
    </cacheField>
    <cacheField name="Task description" numFmtId="0">
      <sharedItems containsBlank="1"/>
    </cacheField>
    <cacheField name="Phase" numFmtId="0">
      <sharedItems containsBlank="1"/>
    </cacheField>
    <cacheField name="Resource Name" numFmtId="0">
      <sharedItems containsBlank="1" count="54">
        <s v="Kaushik C"/>
        <s v="Palraj A"/>
        <s v="Vasudev A"/>
        <s v="Kumanan"/>
        <s v="Mohamed Idris P"/>
        <s v="Thangamani S"/>
        <s v="Yogesh R"/>
        <s v="Karthikeyan Shanmugam"/>
        <s v="Sudhakar B"/>
        <s v="Giridhar"/>
        <m/>
        <s v="Sudhakar Sumaithangi"/>
        <s v="Sankar Rajaraman"/>
        <s v="Navyasree C"/>
        <s v="G Ramalinngam"/>
        <s v="Srividhya R"/>
        <s v="Nilesh Kumar"/>
        <s v="Sriharish Ramesh"/>
        <s v="Sangilimurugan"/>
        <s v="T Lakshmi Priya"/>
        <s v="Diwakar S"/>
        <s v="S Balaji"/>
        <s v="Prashant S"/>
        <s v="Prasannakumar Reddy Y"/>
        <s v="Venkatesh P"/>
        <s v="Sreekanth Grandhi"/>
        <s v="Padachala Mohan"/>
        <s v="Itisree"/>
        <s v="Puneet S"/>
        <s v="Deepak nair"/>
        <s v="Raj Hans"/>
        <s v="Saravanan" u="1"/>
        <s v="t2" u="1"/>
        <s v="Pratibha" u="1"/>
        <s v="Guru" u="1"/>
        <s v="Madhavi" u="1"/>
        <s v="Sangeetha" u="1"/>
        <s v="t1" u="1"/>
        <s v="Ravi" u="1"/>
        <s v="Shruti" u="1"/>
        <s v="Prasad" u="1"/>
        <s v="Manju" u="1"/>
        <s v="R3" u="1"/>
        <s v="Asha" u="1"/>
        <s v="r2" u="1"/>
        <s v="Venkat" u="1"/>
        <s v="Rajesh" u="1"/>
        <s v="Samved" u="1"/>
        <s v="Ramesh" u="1"/>
        <s v="r1" u="1"/>
        <s v="Ram" u="1"/>
        <s v="Baskaran Ramamurthy" u="1"/>
        <s v="Krishnan Ramakrishnan" u="1"/>
        <s v="Shipra" u="1"/>
      </sharedItems>
    </cacheField>
    <cacheField name="Available Effort" numFmtId="0">
      <sharedItems containsBlank="1" containsMixedTypes="1" containsNumber="1" minValue="-125.71" maxValue="52.14"/>
    </cacheField>
    <cacheField name="Planned effort" numFmtId="0">
      <sharedItems containsString="0" containsBlank="1" containsNumber="1" containsInteger="1" minValue="1" maxValue="120"/>
    </cacheField>
    <cacheField name="Actual effort" numFmtId="0">
      <sharedItems containsString="0" containsBlank="1" containsNumber="1" containsInteger="1" minValue="1" maxValue="115"/>
    </cacheField>
    <cacheField name="Status" numFmtId="0">
      <sharedItems containsBlank="1"/>
    </cacheField>
    <cacheField name="Planned Size" numFmtId="0">
      <sharedItems containsBlank="1" containsMixedTypes="1" containsNumber="1" minValue="0.13999270871308783" maxValue="16.799925333665183"/>
    </cacheField>
    <cacheField name="ILP _x000a_(Size / Effort)" numFmtId="0">
      <sharedItems containsBlank="1" containsMixedTypes="1" containsNumber="1" minValue="9.3327949028581672E-2" maxValue="0.18666846155572006"/>
    </cacheField>
    <cacheField name="Goal" numFmtId="0">
      <sharedItems containsBlank="1" containsMixedTypes="1" containsNumber="1" minValue="0.13996719518862769" maxValue="0.14002019522046449"/>
    </cacheField>
    <cacheField name="Variance" numFmtId="0">
      <sharedItems containsBlank="1" containsMixedTypes="1" containsNumber="1" minValue="-33.333333333333336" maxValue="33.333333333333329"/>
    </cacheField>
    <cacheField name="ILP Score" numFmtId="0">
      <sharedItems containsBlank="1" containsMixedTypes="1" containsNumber="1" minValue="0.66666666666666663" maxValue="1.3333333333333333"/>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Poornima K" refreshedDate="43287.830877083332" createdVersion="6" refreshedVersion="6" minRefreshableVersion="3" recordCount="1083">
  <cacheSource type="worksheet">
    <worksheetSource ref="A1:P1048576" sheet="Data Collection" r:id="rId2"/>
  </cacheSource>
  <cacheFields count="16">
    <cacheField name="S.No" numFmtId="0">
      <sharedItems containsString="0" containsBlank="1" containsNumber="1" containsInteger="1" minValue="1" maxValue="121"/>
    </cacheField>
    <cacheField name="Release / CR Name" numFmtId="0">
      <sharedItems containsBlank="1" count="9">
        <s v="Sprint-41 - AETP"/>
        <s v="Sprint-42 - AETP"/>
        <m/>
        <s v="Sprint-45 - eCFD"/>
        <s v="TDM/TCM"/>
        <s v="Sprint 46 - eCFD"/>
        <s v="t1" u="1"/>
        <s v="test" u="1"/>
        <s v="Sprint 41" u="1"/>
      </sharedItems>
    </cacheField>
    <cacheField name="Month" numFmtId="0">
      <sharedItems containsNonDate="0" containsDate="1" containsString="0" containsBlank="1" minDate="2018-05-01T00:00:00" maxDate="2018-07-02T00:00:00" count="4">
        <d v="2018-05-01T00:00:00"/>
        <d v="2018-06-01T00:00:00"/>
        <m/>
        <d v="2018-07-01T00:00:00" u="1"/>
      </sharedItems>
    </cacheField>
    <cacheField name="Task description" numFmtId="0">
      <sharedItems containsBlank="1"/>
    </cacheField>
    <cacheField name="Phase" numFmtId="0">
      <sharedItems containsBlank="1" count="50">
        <s v="Code development"/>
        <s v="Test case creation"/>
        <s v="Test case review"/>
        <s v="Manual testing"/>
        <s v="Resolving impediments"/>
        <s v="Others (such as -Analysis, Design, CI)"/>
        <s v="Sprint rework"/>
        <s v="Sprint Review and Rework"/>
        <m/>
        <s v="Sprint Management Activities"/>
        <s v="Sprint Support Activities"/>
        <s v="Develop required service to retrieve data from DA layer"/>
        <s v="File Upload UI"/>
        <s v="UI to search specific node - first level search"/>
        <s v="UI grid to display node search result"/>
        <s v="UI Grid for presenting the response data"/>
        <s v="UI Changes for multi select"/>
        <s v="UI to plot sankey"/>
        <s v="Zoom in / out for sankey "/>
        <s v="Traceability for multi select"/>
        <s v="UI changes to Hide nodes in between existing sankey for proper view"/>
        <s v="Swapping TIRL and TC"/>
        <s v="UI changes for finding concurrent and compatiple TR's"/>
        <s v="UI To display parent child relation"/>
        <s v="Identify the changes required to convert FTCS TIRL interface from SQOOP based interface to file based interface"/>
        <s v="FTCS TIRL conversion from SQOOP based interface to File based interface"/>
        <s v="Convert Excel file to CSV(Should support both xls format and xlsx format)"/>
        <s v="Execute test cases for AETP WSRD,AETP OPT"/>
        <s v="Execute test cases for FTCS FTP, FTCS TIRL"/>
        <s v="Execute test cases for TPERT TCM, DOORS"/>
        <s v="Execute test cases for Neo4J module"/>
        <s v="Prepare and execute testcases for AETP WSRD interface"/>
        <s v="Prepare and execute testcases for DOORS interface"/>
        <s v="Prepare and execute testcases for AETP OPT interface"/>
        <s v="Prepare and execute testcases for FTCS FTP interface"/>
        <s v="Analysis" u="1"/>
        <s v="Development" u="1"/>
        <s v="Sprint Management" u="1"/>
        <s v="Sprint Grooming" u="1"/>
        <s v="Design" u="1"/>
        <s v="Project Management" u="1"/>
        <s v="Sprint Planning" u="1"/>
        <s v="test" u="1"/>
        <s v="Reviews" u="1"/>
        <s v="Testing" u="1"/>
        <s v="Sprint Support" u="1"/>
        <s v="Tracking and Reporting" u="1"/>
        <s v="Test 1" u="1"/>
        <s v="test2" u="1"/>
        <s v="test1" u="1"/>
      </sharedItems>
    </cacheField>
    <cacheField name="Resource Name" numFmtId="0">
      <sharedItems containsBlank="1" count="54">
        <s v="Kaushik C"/>
        <s v="Palraj A"/>
        <s v="Vasudev A"/>
        <s v="Kumanan"/>
        <s v="Mohamed Idris P"/>
        <s v="Thangamani S"/>
        <s v="Yogesh R"/>
        <s v="Karthikeyan Shanmugam"/>
        <s v="Sudhakar B"/>
        <s v="Giridhar"/>
        <m/>
        <s v="Sudhakar Sumaithangi"/>
        <s v="Sankar Rajaraman"/>
        <s v="Navyasree C"/>
        <s v="G Ramalinngam"/>
        <s v="Srividhya R"/>
        <s v="Nilesh Kumar"/>
        <s v="Sriharish Ramesh"/>
        <s v="Sangilimurugan"/>
        <s v="T Lakshmi Priya"/>
        <s v="Diwakar S"/>
        <s v="S Balaji"/>
        <s v="Prashant S"/>
        <s v="Prasannakumar Reddy Y"/>
        <s v="Venkatesh P"/>
        <s v="Sreekanth Grandhi"/>
        <s v="Padachala Mohan"/>
        <s v="Itisree"/>
        <s v="Puneet S"/>
        <s v="Deepak nair"/>
        <s v="Raj Hans"/>
        <s v="Madhavi" u="1"/>
        <s v="t1" u="1"/>
        <s v="Prasad" u="1"/>
        <s v="Rajesh" u="1"/>
        <s v="Ramesh" u="1"/>
        <s v="Baskaran Ramamurthy" u="1"/>
        <s v="r1" u="1"/>
        <s v="Manju" u="1"/>
        <s v="R3" u="1"/>
        <s v="Guru" u="1"/>
        <s v="Krishnan Ramakrishnan" u="1"/>
        <s v="Asha" u="1"/>
        <s v="t2" u="1"/>
        <s v="Venkat" u="1"/>
        <s v="Shruti" u="1"/>
        <s v="r2" u="1"/>
        <s v="Ram" u="1"/>
        <s v="Ravi" u="1"/>
        <s v="Saravanan" u="1"/>
        <s v="Shipra" u="1"/>
        <s v="Sangeetha" u="1"/>
        <s v="Samved" u="1"/>
        <s v="Pratibha" u="1"/>
      </sharedItems>
    </cacheField>
    <cacheField name="Available Effort" numFmtId="0">
      <sharedItems containsBlank="1" containsMixedTypes="1" containsNumber="1" minValue="-125.71" maxValue="52.14"/>
    </cacheField>
    <cacheField name="Planned effort" numFmtId="0">
      <sharedItems containsString="0" containsBlank="1" containsNumber="1" containsInteger="1" minValue="1" maxValue="120"/>
    </cacheField>
    <cacheField name="Actual effort" numFmtId="0">
      <sharedItems containsString="0" containsBlank="1" containsNumber="1" containsInteger="1" minValue="1" maxValue="115"/>
    </cacheField>
    <cacheField name="Status" numFmtId="0">
      <sharedItems containsBlank="1"/>
    </cacheField>
    <cacheField name="Planned Size" numFmtId="0">
      <sharedItems containsBlank="1" containsMixedTypes="1" containsNumber="1" minValue="0.13999270871308783" maxValue="16.799925333665183"/>
    </cacheField>
    <cacheField name="ILP _x000a_(Size / Effort)" numFmtId="0">
      <sharedItems containsBlank="1" containsMixedTypes="1" containsNumber="1" minValue="9.3327949028581672E-2" maxValue="0.18666846155572006"/>
    </cacheField>
    <cacheField name="Goal" numFmtId="0">
      <sharedItems containsBlank="1" containsMixedTypes="1" containsNumber="1" minValue="0.13996719518862769" maxValue="0.14002019522046449"/>
    </cacheField>
    <cacheField name="Variance" numFmtId="0">
      <sharedItems containsBlank="1" containsMixedTypes="1" containsNumber="1" minValue="-33.333333333333336" maxValue="33.333333333333329"/>
    </cacheField>
    <cacheField name="ILP Score" numFmtId="0">
      <sharedItems containsBlank="1" containsMixedTypes="1" containsNumber="1" minValue="0.66666666666666663" maxValue="1.3333333333333333"/>
    </cacheField>
    <cacheField name="ILP Goal" numFmtId="0">
      <sharedItems containsBlank="1" containsMixedTypes="1" containsNumber="1" containsInteger="1" minValue="1" maxValue="1"/>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Hareendran M-ERS,HCLTech" refreshedDate="43510.861029050924" createdVersion="6" refreshedVersion="6" minRefreshableVersion="3" recordCount="1108">
  <cacheSource type="worksheet">
    <worksheetSource ref="A1:O1048576" sheet="Data Collection"/>
  </cacheSource>
  <cacheFields count="15">
    <cacheField name="S.No" numFmtId="0">
      <sharedItems containsString="0" containsBlank="1" containsNumber="1" containsInteger="1" minValue="1" maxValue="120"/>
    </cacheField>
    <cacheField name="Release / CR Name" numFmtId="0">
      <sharedItems containsBlank="1"/>
    </cacheField>
    <cacheField name="Month" numFmtId="0">
      <sharedItems containsNonDate="0" containsDate="1" containsString="0" containsBlank="1" minDate="2019-01-01T00:00:00" maxDate="2019-01-02T00:00:00"/>
    </cacheField>
    <cacheField name="Task description" numFmtId="0">
      <sharedItems containsBlank="1" longText="1"/>
    </cacheField>
    <cacheField name="Phase" numFmtId="0">
      <sharedItems containsBlank="1"/>
    </cacheField>
    <cacheField name="Resource Name" numFmtId="0">
      <sharedItems containsBlank="1" count="30">
        <s v="Sreedhar Ranganadham"/>
        <s v="Veeraganesh Velugula"/>
        <s v="PARTHASARATHY MUTHUSAMY SHANMUGAM  "/>
        <s v="Pradeepa Jothiramalingam  "/>
        <s v="Kumar"/>
        <s v="Jaiganesh Devarajulu  "/>
        <s v="Tapashi Kalita Lahkar  "/>
        <s v="SURESH KUMAR SANGINEEDI  "/>
        <s v="Gnanaprasanna Repakula "/>
        <s v="Kirankumar Kalisetti"/>
        <s v="Saida Reddy Kathi"/>
        <s v="Durga Prasad"/>
        <s v="Chakka Sivaparvathi "/>
        <s v="Pramod Marathu  "/>
        <s v="Shanmugapriya Karthik  "/>
        <s v="Harshitha Pinnapareddy"/>
        <s v="Gomasani Srinivasulu  "/>
        <s v="Suresh Hari"/>
        <s v="Chandrasekar Mariappan  "/>
        <s v="Jagadeesh Bokam  "/>
        <s v="R. Silambarasu  "/>
        <s v="Sundara Sibi .M D  "/>
        <s v="JEYAPRABU MAHALINGAM  "/>
        <s v="SREEBANRAJ RAMASAMY  "/>
        <s v="Siva Rama Kiran Battula  "/>
        <s v="Mamtha Achu Cella Dharanipathy  "/>
        <s v="Pranav"/>
        <s v="Sivanarendhar Sriraja  "/>
        <s v="Bhavani Sreedhara"/>
        <m/>
      </sharedItems>
    </cacheField>
    <cacheField name="Available Effort" numFmtId="0">
      <sharedItems containsBlank="1" containsMixedTypes="1" containsNumber="1" minValue="-2.14" maxValue="75.709999999999994"/>
    </cacheField>
    <cacheField name="Planned effort" numFmtId="0">
      <sharedItems containsString="0" containsBlank="1" containsNumber="1" containsInteger="1" minValue="4" maxValue="180"/>
    </cacheField>
    <cacheField name="Actual effort" numFmtId="0">
      <sharedItems containsString="0" containsBlank="1" containsNumber="1" containsInteger="1" minValue="4" maxValue="130"/>
    </cacheField>
    <cacheField name="Status" numFmtId="0">
      <sharedItems containsBlank="1"/>
    </cacheField>
    <cacheField name="Planned Size" numFmtId="0">
      <sharedItems containsBlank="1" containsMixedTypes="1" containsNumber="1" minValue="0.56000173697809241" maxValue="25.200041687413876"/>
    </cacheField>
    <cacheField name="ILP _x000a_(Size / Effort)" numFmtId="0">
      <sharedItems containsBlank="1" containsMixedTypes="1" containsNumber="1" minValue="7.6363762689132947E-2" maxValue="0.26250043424389446"/>
    </cacheField>
    <cacheField name="Goal" numFmtId="0">
      <sharedItems containsBlank="1" containsMixedTypes="1" containsNumber="1" minValue="0.13999861043562842" maxValue="0.1400034740316137"/>
    </cacheField>
    <cacheField name="Variance" numFmtId="0">
      <sharedItems containsBlank="1" containsMixedTypes="1" containsNumber="1" minValue="-45.45454545454546" maxValue="87.5"/>
    </cacheField>
    <cacheField name="ILP Score" numFmtId="0">
      <sharedItems containsBlank="1" containsMixedTypes="1" containsNumber="1" minValue="0.54545454545454541" maxValue="1.87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3">
  <r>
    <s v="Sprint-41 - AETP"/>
    <x v="0"/>
    <s v="Coding and Unit testing"/>
    <s v="Code development"/>
    <x v="0"/>
    <n v="1.29"/>
    <n v="80"/>
    <n v="80"/>
    <s v="Completed"/>
    <n v="11.1999192313517"/>
    <n v="0.13999899039189626"/>
    <n v="0.13999899039189626"/>
    <n v="0"/>
    <n v="1"/>
  </r>
  <r>
    <s v="Sprint-41 - AETP"/>
    <x v="0"/>
    <s v="Coding and Unit testing"/>
    <s v="Code development"/>
    <x v="1"/>
    <n v="1.29"/>
    <n v="81"/>
    <n v="72"/>
    <s v="Completed"/>
    <n v="11.339918221743595"/>
    <n v="0.15749886419088327"/>
    <n v="0.13999899039189623"/>
    <n v="12.500000000000011"/>
    <n v="1.125"/>
  </r>
  <r>
    <s v="Sprint-41 - AETP"/>
    <x v="0"/>
    <s v="Coding and Unit testing"/>
    <s v="Code development"/>
    <x v="2"/>
    <n v="1.29"/>
    <n v="90"/>
    <n v="80"/>
    <s v="Completed"/>
    <n v="12.599909135270662"/>
    <n v="0.15749886419088327"/>
    <n v="0.13999899039189626"/>
    <n v="12.499999999999988"/>
    <n v="1.1249999999999998"/>
  </r>
  <r>
    <s v="Sprint-41 - AETP"/>
    <x v="0"/>
    <s v="Coding and Unit testing"/>
    <s v="Code development"/>
    <x v="3"/>
    <n v="1.29"/>
    <n v="90"/>
    <n v="90"/>
    <s v="Completed"/>
    <n v="12.599909135270662"/>
    <n v="0.13999899039189626"/>
    <n v="0.13999899039189626"/>
    <n v="0"/>
    <n v="1"/>
  </r>
  <r>
    <s v="Sprint-41 - AETP"/>
    <x v="0"/>
    <s v="Coding and Unit testing"/>
    <s v="Code development"/>
    <x v="4"/>
    <n v="1.29"/>
    <n v="81"/>
    <n v="80"/>
    <s v="Completed"/>
    <n v="11.339918221743595"/>
    <n v="0.14174897777179493"/>
    <n v="0.13999899039189623"/>
    <n v="1.2500000000000009"/>
    <n v="1.0125"/>
  </r>
  <r>
    <s v="Sprint-41 - AETP"/>
    <x v="0"/>
    <s v="Coding and Unit testing"/>
    <s v="Code development"/>
    <x v="5"/>
    <n v="1.29"/>
    <n v="81"/>
    <n v="80"/>
    <s v="Completed"/>
    <n v="11.339918221743595"/>
    <n v="0.14174897777179493"/>
    <n v="0.13999899039189623"/>
    <n v="1.2500000000000009"/>
    <n v="1.0125"/>
  </r>
  <r>
    <s v="Sprint-41 - AETP"/>
    <x v="0"/>
    <s v="Coding and Unit testing"/>
    <s v="Code development"/>
    <x v="6"/>
    <n v="1.29"/>
    <n v="90"/>
    <n v="85"/>
    <s v="Completed"/>
    <n v="12.599909135270662"/>
    <n v="0.14823422512083131"/>
    <n v="0.13999899039189626"/>
    <n v="5.8823529411764603"/>
    <n v="1.0588235294117645"/>
  </r>
  <r>
    <s v="Sprint-41 - AETP"/>
    <x v="0"/>
    <s v="Testing"/>
    <s v="Test case creation"/>
    <x v="7"/>
    <n v="16.29"/>
    <n v="50"/>
    <n v="45"/>
    <s v="Completed"/>
    <n v="6.9995961771436255"/>
    <n v="0.1555465817143028"/>
    <n v="0.13999192354287252"/>
    <n v="11.111111111111116"/>
    <n v="1.1111111111111112"/>
  </r>
  <r>
    <s v="Sprint-41 - AETP"/>
    <x v="0"/>
    <s v="Testcase Review"/>
    <s v="Test case review"/>
    <x v="7"/>
    <n v="9.7100000000000009"/>
    <n v="20"/>
    <n v="20"/>
    <s v="Completed"/>
    <n v="2.8004039044092899"/>
    <n v="0.14002019522046449"/>
    <n v="0.14002019522046449"/>
    <n v="0"/>
    <n v="1"/>
  </r>
  <r>
    <s v="Sprint-41 - AETP"/>
    <x v="0"/>
    <s v="Testcase Creation"/>
    <s v="Test case creation"/>
    <x v="7"/>
    <n v="16.29"/>
    <n v="8"/>
    <n v="8"/>
    <s v="Completed"/>
    <n v="1.1199353883429801"/>
    <n v="0.13999192354287252"/>
    <n v="0.13999192354287252"/>
    <n v="0"/>
    <n v="1"/>
  </r>
  <r>
    <s v="Sprint-41 - AETP"/>
    <x v="0"/>
    <s v="Manual Testing"/>
    <s v="Manual testing"/>
    <x v="7"/>
    <n v="18.86"/>
    <n v="100"/>
    <n v="89"/>
    <s v="Completed"/>
    <n v="13.999663469628135"/>
    <n v="0.15729958954638354"/>
    <n v="0.13999663469628135"/>
    <n v="12.359550561797755"/>
    <n v="1.1235955056179776"/>
  </r>
  <r>
    <s v="Sprint-41 - AETP"/>
    <x v="0"/>
    <s v="Resolving Defects and Rework"/>
    <s v="Resolving impediments"/>
    <x v="0"/>
    <n v="-125.71"/>
    <n v="30"/>
    <n v="25"/>
    <s v="Completed"/>
    <n v="4.1997577062861753"/>
    <n v="0.16799030825144701"/>
    <n v="0.13999192354287252"/>
    <n v="19.999999999999993"/>
    <n v="1.2"/>
  </r>
  <r>
    <s v="Sprint-41 - AETP"/>
    <x v="0"/>
    <s v="Resolving Defects and Rework"/>
    <s v="Resolving impediments"/>
    <x v="1"/>
    <n v="-125.71"/>
    <n v="30"/>
    <n v="40"/>
    <s v="Completed"/>
    <n v="4.1997577062861753"/>
    <n v="0.10499394265715438"/>
    <n v="0.13999192354287252"/>
    <n v="-25.000000000000007"/>
    <n v="0.75"/>
  </r>
  <r>
    <s v="Sprint-41 - AETP"/>
    <x v="0"/>
    <s v="Resolving Defects and Rework"/>
    <s v="Resolving impediments"/>
    <x v="2"/>
    <n v="-125.71"/>
    <n v="30"/>
    <n v="30"/>
    <s v="Completed"/>
    <n v="4.1997577062861753"/>
    <n v="0.13999192354287252"/>
    <n v="0.13999192354287252"/>
    <n v="0"/>
    <n v="1"/>
  </r>
  <r>
    <s v="Sprint-41 - AETP"/>
    <x v="0"/>
    <s v="Resolving Defects and Rework"/>
    <s v="Resolving impediments"/>
    <x v="3"/>
    <n v="-125.71"/>
    <n v="30"/>
    <n v="45"/>
    <s v="Completed"/>
    <n v="4.1997577062861753"/>
    <n v="9.3327949028581672E-2"/>
    <n v="0.13999192354287252"/>
    <n v="-33.333333333333336"/>
    <n v="0.66666666666666663"/>
  </r>
  <r>
    <s v="Sprint-41 - AETP"/>
    <x v="0"/>
    <s v="Resolving Defects and Rework"/>
    <s v="Resolving impediments"/>
    <x v="4"/>
    <n v="-125.71"/>
    <n v="20"/>
    <n v="15"/>
    <s v="Completed"/>
    <n v="2.7998384708574506"/>
    <n v="0.18665589805716337"/>
    <n v="0.13999192354287254"/>
    <n v="33.333333333333321"/>
    <n v="1.3333333333333333"/>
  </r>
  <r>
    <s v="Sprint-41 - AETP"/>
    <x v="0"/>
    <s v="Resolving Defects and Rework"/>
    <s v="Resolving impediments"/>
    <x v="5"/>
    <n v="-125.71"/>
    <n v="30"/>
    <n v="30"/>
    <s v="Completed"/>
    <n v="4.1997577062861753"/>
    <n v="0.13999192354287252"/>
    <n v="0.13999192354287252"/>
    <n v="0"/>
    <n v="1"/>
  </r>
  <r>
    <s v="Sprint-41 - AETP"/>
    <x v="0"/>
    <s v="Sprint Grooming and Analysis"/>
    <s v="Resolving impediments"/>
    <x v="6"/>
    <n v="-125.71"/>
    <n v="30"/>
    <n v="25"/>
    <s v="Completed"/>
    <n v="4.1997577062861753"/>
    <n v="0.16799030825144701"/>
    <n v="0.13999192354287252"/>
    <n v="19.999999999999993"/>
    <n v="1.2"/>
  </r>
  <r>
    <s v="Sprint-41 - AETP"/>
    <x v="0"/>
    <s v="Sprint Grooming and Analysis"/>
    <s v="Others (such as -Analysis, Design, CI)"/>
    <x v="0"/>
    <n v="52.14"/>
    <n v="40"/>
    <n v="35"/>
    <s v="Completed"/>
    <n v="5.6000538466716021"/>
    <n v="0.1600015384763315"/>
    <n v="0.14000134616679005"/>
    <n v="14.285714285714294"/>
    <n v="1.142857142857143"/>
  </r>
  <r>
    <s v="Sprint-41 - AETP"/>
    <x v="0"/>
    <s v="Sprint Grooming and Analysis"/>
    <s v="Others (such as -Analysis, Design, CI)"/>
    <x v="1"/>
    <n v="52.14"/>
    <n v="40"/>
    <n v="40"/>
    <s v="Completed"/>
    <n v="5.6000538466716021"/>
    <n v="0.14000134616679005"/>
    <n v="0.14000134616679005"/>
    <n v="0"/>
    <n v="1"/>
  </r>
  <r>
    <s v="Sprint-41 - AETP"/>
    <x v="0"/>
    <s v="Sprint Grooming and Analysis"/>
    <s v="Others (such as -Analysis, Design, CI)"/>
    <x v="2"/>
    <n v="52.14"/>
    <n v="40"/>
    <n v="30"/>
    <s v="Completed"/>
    <n v="5.6000538466716021"/>
    <n v="0.18666846155572006"/>
    <n v="0.14000134616679005"/>
    <n v="33.333333333333329"/>
    <n v="1.3333333333333333"/>
  </r>
  <r>
    <s v="Sprint-41 - AETP"/>
    <x v="0"/>
    <s v="Sprint Grooming and Analysis"/>
    <s v="Others (such as -Analysis, Design, CI)"/>
    <x v="3"/>
    <n v="52.14"/>
    <n v="40"/>
    <n v="40"/>
    <s v="Completed"/>
    <n v="5.6000538466716021"/>
    <n v="0.14000134616679005"/>
    <n v="0.14000134616679005"/>
    <n v="0"/>
    <n v="1"/>
  </r>
  <r>
    <s v="Sprint-41 - AETP"/>
    <x v="0"/>
    <s v="Sprint Grooming and Analysis"/>
    <s v="Others (such as -Analysis, Design, CI)"/>
    <x v="4"/>
    <n v="52.14"/>
    <n v="45"/>
    <n v="40"/>
    <s v="Completed"/>
    <n v="6.3000605775055529"/>
    <n v="0.15750151443763882"/>
    <n v="0.14000134616679005"/>
    <n v="12.500000000000011"/>
    <n v="1.125"/>
  </r>
  <r>
    <s v="Sprint-41 - AETP"/>
    <x v="0"/>
    <s v="Sprint Grooming and Analysis"/>
    <s v="Others (such as -Analysis, Design, CI)"/>
    <x v="5"/>
    <n v="52.14"/>
    <n v="40"/>
    <n v="40"/>
    <s v="Completed"/>
    <n v="5.6000538466716021"/>
    <n v="0.14000134616679005"/>
    <n v="0.14000134616679005"/>
    <n v="0"/>
    <n v="1"/>
  </r>
  <r>
    <s v="Sprint-41 - AETP"/>
    <x v="0"/>
    <s v="Sprint Grooming and Analysis"/>
    <s v="Others (such as -Analysis, Design, CI)"/>
    <x v="6"/>
    <e v="#REF!"/>
    <n v="40"/>
    <n v="30"/>
    <s v="Completed"/>
    <e v="#REF!"/>
    <s v=""/>
    <s v=""/>
    <s v=""/>
    <s v=""/>
  </r>
  <r>
    <s v="Sprint-41 - AETP"/>
    <x v="0"/>
    <s v="Reviews and Fixes"/>
    <s v="Sprint rework"/>
    <x v="6"/>
    <n v="9.2899999999999991"/>
    <n v="30"/>
    <n v="30"/>
    <s v="Completed"/>
    <n v="4.1997577062861753"/>
    <n v="0.13999192354287252"/>
    <n v="0.13999192354287252"/>
    <n v="0"/>
    <n v="1"/>
  </r>
  <r>
    <s v="Sprint-41 - AETP"/>
    <x v="0"/>
    <s v="Reviews and Fixes"/>
    <s v="Sprint rework"/>
    <x v="4"/>
    <n v="9.2899999999999991"/>
    <n v="35"/>
    <n v="35"/>
    <s v="Completed"/>
    <n v="4.8997173240005374"/>
    <n v="0.13999192354287249"/>
    <n v="0.13999192354287249"/>
    <n v="0"/>
    <n v="1"/>
  </r>
  <r>
    <s v="Sprint-42 - AETP"/>
    <x v="1"/>
    <s v="Coding and Unit testing"/>
    <s v="Code development"/>
    <x v="0"/>
    <n v="0.86"/>
    <n v="120"/>
    <n v="115"/>
    <s v="Completed"/>
    <n v="16.799925333665183"/>
    <n v="0.14608630724926247"/>
    <n v="0.13999937778054319"/>
    <n v="4.3478260869565268"/>
    <n v="1.0434782608695652"/>
  </r>
  <r>
    <s v="Sprint-42 - AETP"/>
    <x v="1"/>
    <s v="Coding and Unit testing"/>
    <s v="Code development"/>
    <x v="1"/>
    <n v="0.86"/>
    <n v="90"/>
    <n v="80"/>
    <s v="Completed"/>
    <n v="12.599944000248886"/>
    <n v="0.15749930000311108"/>
    <n v="0.13999937778054317"/>
    <n v="12.500000000000011"/>
    <n v="1.125"/>
  </r>
  <r>
    <s v="Sprint-42 - AETP"/>
    <x v="1"/>
    <s v="Coding and Unit testing"/>
    <s v="Code development"/>
    <x v="2"/>
    <n v="0.86"/>
    <n v="90"/>
    <n v="90"/>
    <s v="Completed"/>
    <n v="12.599944000248886"/>
    <n v="0.13999937778054317"/>
    <n v="0.13999937778054317"/>
    <n v="0"/>
    <n v="1"/>
  </r>
  <r>
    <s v="Sprint-42 - AETP"/>
    <x v="1"/>
    <s v="Coding and Unit testing"/>
    <s v="Code development"/>
    <x v="8"/>
    <n v="0.86"/>
    <n v="80"/>
    <n v="80"/>
    <s v="Completed"/>
    <n v="11.199950222443453"/>
    <n v="0.13999937778054317"/>
    <n v="0.13999937778054317"/>
    <n v="0"/>
    <n v="1"/>
  </r>
  <r>
    <s v="Sprint-42 - AETP"/>
    <x v="1"/>
    <s v="Coding and Unit testing"/>
    <s v="Code development"/>
    <x v="4"/>
    <n v="0.86"/>
    <n v="80"/>
    <n v="78"/>
    <s v="Completed"/>
    <n v="11.199950222443453"/>
    <n v="0.14358910541594172"/>
    <n v="0.13999937778054317"/>
    <n v="2.5641025641025723"/>
    <n v="1.0256410256410258"/>
  </r>
  <r>
    <s v="Sprint-42 - AETP"/>
    <x v="1"/>
    <s v="Coding and Unit testing"/>
    <s v="Code development"/>
    <x v="5"/>
    <n v="0.86"/>
    <n v="90"/>
    <n v="90"/>
    <s v="Completed"/>
    <n v="12.599944000248886"/>
    <n v="0.13999937778054317"/>
    <n v="0.13999937778054317"/>
    <n v="0"/>
    <n v="1"/>
  </r>
  <r>
    <s v="Sprint-42 - AETP"/>
    <x v="1"/>
    <s v="Coding and Unit testing"/>
    <s v="Code development"/>
    <x v="6"/>
    <n v="0.86"/>
    <n v="92"/>
    <n v="85"/>
    <s v="Completed"/>
    <n v="12.879942755809971"/>
    <n v="0.15152873830364672"/>
    <n v="0.13999937778054317"/>
    <n v="8.2352941176470544"/>
    <n v="1.0823529411764705"/>
  </r>
  <r>
    <s v="Sprint-42 - AETP"/>
    <x v="1"/>
    <s v="Testcase Creation"/>
    <s v="Test case creation"/>
    <x v="7"/>
    <n v="0.28999999999999998"/>
    <n v="64"/>
    <n v="63"/>
    <s v="Completed"/>
    <n v="8.9594027064862338"/>
    <n v="0.14221274137279735"/>
    <n v="0.1399906672888474"/>
    <n v="1.5873015873015799"/>
    <n v="1.0158730158730158"/>
  </r>
  <r>
    <s v="Sprint-42 - AETP"/>
    <x v="1"/>
    <s v="Testcase Review"/>
    <s v="Test case review"/>
    <x v="9"/>
    <n v="7.0000000000000007E-2"/>
    <n v="16"/>
    <n v="15"/>
    <s v="Completed"/>
    <n v="2.24019912881145"/>
    <n v="0.14934660858743001"/>
    <n v="0.14001244555071563"/>
    <n v="6.6666666666666767"/>
    <n v="1.0666666666666667"/>
  </r>
  <r>
    <s v="Sprint-42 - AETP"/>
    <x v="1"/>
    <s v="Testing"/>
    <s v="Manual testing"/>
    <x v="7"/>
    <n v="0.71"/>
    <n v="110"/>
    <n v="110"/>
    <s v="Completed"/>
    <n v="15.400410677618069"/>
    <n v="0.14000373343289155"/>
    <n v="0.14000373343289155"/>
    <n v="0"/>
    <n v="1"/>
  </r>
  <r>
    <s v="Sprint-42 - AETP"/>
    <x v="1"/>
    <s v="Testing"/>
    <s v="Manual testing"/>
    <x v="4"/>
    <n v="0.71"/>
    <n v="50"/>
    <n v="50"/>
    <s v="Completed"/>
    <n v="7.0001866716445775"/>
    <n v="0.14000373343289155"/>
    <n v="0.14000373343289155"/>
    <n v="0"/>
    <n v="1"/>
  </r>
  <r>
    <s v="Sprint-42 - AETP"/>
    <x v="1"/>
    <s v="Review and Rework"/>
    <s v="Sprint Review and Rework"/>
    <x v="4"/>
    <n v="0.36"/>
    <n v="50"/>
    <n v="50"/>
    <s v="Completed"/>
    <n v="6.9997511199601785"/>
    <n v="0.13999502239920358"/>
    <n v="0.13999502239920358"/>
    <n v="0"/>
    <n v="1"/>
  </r>
  <r>
    <s v="Sprint-42 - AETP"/>
    <x v="1"/>
    <s v="Review and Rework"/>
    <s v="Sprint Review and Rework"/>
    <x v="9"/>
    <n v="0.36"/>
    <n v="30"/>
    <n v="30"/>
    <s v="Completed"/>
    <n v="4.1998506719761073"/>
    <n v="0.13999502239920358"/>
    <n v="0.13999502239920358"/>
    <n v="0"/>
    <n v="1"/>
  </r>
  <r>
    <s v="Sprint-42 - AETP"/>
    <x v="1"/>
    <s v="Resolving Issues and Rework"/>
    <s v="Resolving impediments"/>
    <x v="0"/>
    <n v="0.36"/>
    <n v="55"/>
    <n v="50"/>
    <s v="Completed"/>
    <n v="7.6997262319561965"/>
    <n v="0.15399452463912394"/>
    <n v="0.13999502239920358"/>
    <n v="10"/>
    <n v="1.1000000000000001"/>
  </r>
  <r>
    <s v="Sprint-42 - AETP"/>
    <x v="1"/>
    <s v="Resolving Issues and Rework"/>
    <s v="Resolving impediments"/>
    <x v="1"/>
    <n v="0.36"/>
    <n v="25"/>
    <n v="25"/>
    <s v="Completed"/>
    <n v="3.4998755599800893"/>
    <n v="0.13999502239920358"/>
    <n v="0.13999502239920358"/>
    <n v="0"/>
    <n v="1"/>
  </r>
  <r>
    <s v="Sprint-42 - AETP"/>
    <x v="1"/>
    <s v="Others"/>
    <s v="Others (such as -Analysis, Design, CI)"/>
    <x v="1"/>
    <n v="0.43"/>
    <n v="60"/>
    <n v="60"/>
    <s v="Completed"/>
    <n v="8.3999626668325913"/>
    <n v="0.13999937778054319"/>
    <n v="0.13999937778054319"/>
    <n v="0"/>
    <n v="1"/>
  </r>
  <r>
    <s v="Sprint-42 - AETP"/>
    <x v="1"/>
    <s v="Others"/>
    <s v="Others (such as -Analysis, Design, CI)"/>
    <x v="2"/>
    <n v="0.43"/>
    <n v="80"/>
    <n v="80"/>
    <s v="Completed"/>
    <n v="11.199950222443453"/>
    <n v="0.13999937778054317"/>
    <n v="0.13999937778054317"/>
    <n v="0"/>
    <n v="1"/>
  </r>
  <r>
    <s v="Sprint-42 - AETP"/>
    <x v="1"/>
    <s v="Others"/>
    <s v="Others (such as -Analysis, Design, CI)"/>
    <x v="8"/>
    <n v="0.43"/>
    <n v="90"/>
    <n v="85"/>
    <s v="Completed"/>
    <n v="12.599944000248886"/>
    <n v="0.14823463529704572"/>
    <n v="0.13999937778054317"/>
    <n v="5.8823529411764843"/>
    <n v="1.0588235294117649"/>
  </r>
  <r>
    <m/>
    <x v="2"/>
    <m/>
    <m/>
    <x v="10"/>
    <s v=""/>
    <m/>
    <m/>
    <m/>
    <s v=""/>
    <s v=""/>
    <s v=""/>
    <s v=""/>
    <s v=""/>
  </r>
  <r>
    <s v="Sprint-42 - AETP"/>
    <x v="1"/>
    <s v="Others"/>
    <s v="Others (such as -Analysis, Design, CI)"/>
    <x v="5"/>
    <n v="0.43"/>
    <n v="80"/>
    <n v="80"/>
    <s v="Completed"/>
    <n v="11.199950222443453"/>
    <n v="0.13999937778054317"/>
    <n v="0.13999937778054317"/>
    <n v="0"/>
    <n v="1"/>
  </r>
  <r>
    <s v="Sprint-42 - AETP"/>
    <x v="1"/>
    <s v="Sprint Mgmt"/>
    <s v="Sprint Management Activities"/>
    <x v="11"/>
    <n v="0.36"/>
    <n v="60"/>
    <n v="60"/>
    <s v="Completed"/>
    <n v="8.3997013439522146"/>
    <n v="0.13999502239920358"/>
    <n v="0.13999502239920358"/>
    <n v="0"/>
    <n v="1"/>
  </r>
  <r>
    <s v="Sprint-42 - AETP"/>
    <x v="1"/>
    <s v="Sprint Mgmt"/>
    <s v="Sprint Management Activities"/>
    <x v="9"/>
    <n v="0.36"/>
    <n v="20"/>
    <n v="20"/>
    <s v="Completed"/>
    <n v="2.7999004479840717"/>
    <n v="0.13999502239920358"/>
    <n v="0.13999502239920358"/>
    <n v="0"/>
    <n v="1"/>
  </r>
  <r>
    <s v="Sprint-42 - AETP"/>
    <x v="1"/>
    <s v="Sprint Support"/>
    <s v="Sprint Support Activities"/>
    <x v="12"/>
    <n v="0.71"/>
    <n v="85"/>
    <n v="85"/>
    <s v="Completed"/>
    <n v="11.90031734179578"/>
    <n v="0.14000373343289155"/>
    <n v="0.14000373343289155"/>
    <n v="0"/>
    <n v="1"/>
  </r>
  <r>
    <s v="Sprint-42 - AETP"/>
    <x v="1"/>
    <s v="Sprint Support"/>
    <s v="Sprint Support Activities"/>
    <x v="6"/>
    <n v="0.71"/>
    <n v="75"/>
    <n v="75"/>
    <s v="Completed"/>
    <n v="10.500280007466866"/>
    <n v="0.14000373343289155"/>
    <n v="0.14000373343289155"/>
    <n v="0"/>
    <n v="1"/>
  </r>
  <r>
    <s v="Sprint-42 - AETP"/>
    <x v="1"/>
    <s v="Others"/>
    <s v="Others (such as -Analysis, Design, CI)"/>
    <x v="6"/>
    <n v="0.43"/>
    <n v="11"/>
    <n v="10"/>
    <s v="Completed"/>
    <n v="1.5399931555859749"/>
    <n v="0.1539993155585975"/>
    <n v="0.13999937778054317"/>
    <n v="10.000000000000012"/>
    <n v="1.1000000000000001"/>
  </r>
  <r>
    <s v="Sprint-45 - eCFD"/>
    <x v="1"/>
    <s v="Coding and Unit testing"/>
    <s v="Code development"/>
    <x v="13"/>
    <n v="0.71"/>
    <n v="45"/>
    <n v="45"/>
    <s v="Completed"/>
    <n v="6.3000657398164162"/>
    <n v="0.14000146088480925"/>
    <n v="0.14000146088480925"/>
    <n v="0"/>
    <n v="1"/>
  </r>
  <r>
    <s v="Sprint-45 - eCFD"/>
    <x v="1"/>
    <s v="Coding and Unit testing"/>
    <s v="Code development"/>
    <x v="14"/>
    <n v="0.71"/>
    <n v="50"/>
    <n v="50"/>
    <s v="Completed"/>
    <n v="7.0000730442404624"/>
    <n v="0.14000146088480925"/>
    <n v="0.14000146088480925"/>
    <n v="0"/>
    <n v="1"/>
  </r>
  <r>
    <s v="Sprint-45 - eCFD"/>
    <x v="1"/>
    <s v="Coding and Unit testing"/>
    <s v="Code development"/>
    <x v="15"/>
    <n v="0.71"/>
    <n v="45"/>
    <n v="45"/>
    <s v="Completed"/>
    <n v="6.3000657398164162"/>
    <n v="0.14000146088480925"/>
    <n v="0.14000146088480925"/>
    <n v="0"/>
    <n v="1"/>
  </r>
  <r>
    <s v="Sprint-45 - eCFD"/>
    <x v="1"/>
    <s v="Coding and Unit testing"/>
    <s v="Code development"/>
    <x v="16"/>
    <n v="0.71"/>
    <n v="40"/>
    <n v="45"/>
    <s v="Completed"/>
    <n v="5.6000584353923699"/>
    <n v="0.12444574300871933"/>
    <n v="0.14000146088480925"/>
    <n v="-11.111111111111112"/>
    <n v="0.88888888888888884"/>
  </r>
  <r>
    <s v="Sprint-45 - eCFD"/>
    <x v="1"/>
    <s v="Coding and Unit testing"/>
    <s v="Code development"/>
    <x v="17"/>
    <n v="0.71"/>
    <n v="60"/>
    <n v="60"/>
    <s v="Completed"/>
    <n v="8.4000876530885549"/>
    <n v="0.14000146088480925"/>
    <n v="0.14000146088480925"/>
    <n v="0"/>
    <n v="1"/>
  </r>
  <r>
    <s v="Sprint-45 - eCFD"/>
    <x v="1"/>
    <s v="Coding and Unit testing"/>
    <s v="Code development"/>
    <x v="18"/>
    <n v="0.71"/>
    <n v="85"/>
    <n v="85"/>
    <s v="Completed"/>
    <n v="11.900124175208786"/>
    <n v="0.14000146088480925"/>
    <n v="0.14000146088480925"/>
    <n v="0"/>
    <n v="1"/>
  </r>
  <r>
    <s v="Sprint-45 - eCFD"/>
    <x v="1"/>
    <s v="Coding and Unit testing"/>
    <s v="Code development"/>
    <x v="19"/>
    <n v="0.71"/>
    <n v="85"/>
    <n v="85"/>
    <s v="Completed"/>
    <n v="11.900124175208786"/>
    <n v="0.14000146088480925"/>
    <n v="0.14000146088480925"/>
    <n v="0"/>
    <n v="1"/>
  </r>
  <r>
    <s v="Sprint-45 - eCFD"/>
    <x v="1"/>
    <s v="Testcase Creation"/>
    <s v="Test case creation"/>
    <x v="20"/>
    <n v="0.71"/>
    <n v="65"/>
    <n v="65"/>
    <s v="Completed"/>
    <n v="9.1005935169684999"/>
    <n v="0.14000913103028462"/>
    <n v="0.14000913103028462"/>
    <n v="0"/>
    <n v="1"/>
  </r>
  <r>
    <s v="Sprint-45 - eCFD"/>
    <x v="1"/>
    <s v="Testcase Review"/>
    <s v="Test case review"/>
    <x v="17"/>
    <n v="0.43"/>
    <n v="16"/>
    <n v="15"/>
    <s v="Completed"/>
    <n v="2.2398052343274499"/>
    <n v="0.14932034895516333"/>
    <n v="0.13998782714546562"/>
    <n v="6.666666666666667"/>
    <n v="1.0666666666666667"/>
  </r>
  <r>
    <s v="Sprint-45 - eCFD"/>
    <x v="1"/>
    <s v="Testing"/>
    <s v="Manual testing"/>
    <x v="20"/>
    <n v="0.93"/>
    <n v="10"/>
    <n v="10"/>
    <s v="Completed"/>
    <n v="1.3999729473826592"/>
    <n v="0.13999729473826591"/>
    <n v="0.13999729473826591"/>
    <n v="0"/>
    <n v="1"/>
  </r>
  <r>
    <s v="Sprint-45 - eCFD"/>
    <x v="1"/>
    <s v="Testing"/>
    <s v="Manual testing"/>
    <x v="14"/>
    <n v="0.93"/>
    <n v="40"/>
    <n v="40"/>
    <s v="Completed"/>
    <n v="5.5998917895306368"/>
    <n v="0.13999729473826591"/>
    <n v="0.13999729473826591"/>
    <n v="0"/>
    <n v="1"/>
  </r>
  <r>
    <s v="Sprint-45 - eCFD"/>
    <x v="1"/>
    <s v="Testing"/>
    <s v="Manual testing"/>
    <x v="15"/>
    <n v="0.93"/>
    <n v="23"/>
    <n v="23"/>
    <s v="Completed"/>
    <n v="3.2199377789801158"/>
    <n v="0.13999729473826591"/>
    <n v="0.13999729473826591"/>
    <n v="0"/>
    <n v="1"/>
  </r>
  <r>
    <s v="Sprint-45 - eCFD"/>
    <x v="1"/>
    <s v="Review and Rework"/>
    <s v="Sprint rework"/>
    <x v="16"/>
    <n v="0.64"/>
    <n v="24"/>
    <n v="24"/>
    <s v="Completed"/>
    <n v="3.36038961038961"/>
    <n v="0.14001623376623376"/>
    <n v="0.14001623376623376"/>
    <n v="0"/>
    <n v="1"/>
  </r>
  <r>
    <s v="Sprint-45 - eCFD"/>
    <x v="1"/>
    <s v="Sprint Mgmt"/>
    <s v="Sprint Management Activities"/>
    <x v="11"/>
    <n v="7.0000000000000007E-2"/>
    <n v="41"/>
    <n v="40"/>
    <s v="Completed"/>
    <n v="5.740199659118578"/>
    <n v="0.14350499147796444"/>
    <n v="0.14000486973459947"/>
    <n v="2.499999999999992"/>
    <n v="1.0249999999999999"/>
  </r>
  <r>
    <s v="Sprint-45 - eCFD"/>
    <x v="1"/>
    <s v="Sprint Support"/>
    <s v="Sprint Support Activities"/>
    <x v="12"/>
    <n v="0.14000000000000001"/>
    <n v="40"/>
    <n v="40"/>
    <s v="Completed"/>
    <n v="5.6001947893839787"/>
    <n v="0.14000486973459947"/>
    <n v="0.14000486973459947"/>
    <n v="0"/>
    <n v="1"/>
  </r>
  <r>
    <s v="Sprint-45 - eCFD"/>
    <x v="1"/>
    <s v="Sprint Support"/>
    <s v="Sprint Support Activities"/>
    <x v="9"/>
    <n v="0.14000000000000001"/>
    <n v="42"/>
    <n v="40"/>
    <s v="Completed"/>
    <n v="5.8802045288531781"/>
    <n v="0.14700511322132945"/>
    <n v="0.14000486973459947"/>
    <n v="5.0000000000000036"/>
    <n v="1.05"/>
  </r>
  <r>
    <s v="Sprint-45 - eCFD"/>
    <x v="1"/>
    <s v="Review and Rework"/>
    <s v="Resolving impediments"/>
    <x v="13"/>
    <n v="25.71"/>
    <n v="35"/>
    <n v="35"/>
    <s v="Completed"/>
    <n v="4.9003195860599611"/>
    <n v="0.14000913103028459"/>
    <n v="0.14000913103028459"/>
    <n v="0"/>
    <n v="1"/>
  </r>
  <r>
    <s v="Sprint-45 - eCFD"/>
    <x v="1"/>
    <s v="Review and Rework"/>
    <s v="Resolving impediments"/>
    <x v="15"/>
    <n v="25.71"/>
    <n v="5"/>
    <n v="5"/>
    <s v="Completed"/>
    <n v="0.70004565515142303"/>
    <n v="0.14000913103028462"/>
    <n v="0.14000913103028462"/>
    <n v="0"/>
    <n v="1"/>
  </r>
  <r>
    <s v="Sprint-45 - eCFD"/>
    <x v="1"/>
    <s v="Others"/>
    <s v="Others (such as -Analysis, Design, CI)"/>
    <x v="16"/>
    <n v="10.07"/>
    <n v="30"/>
    <n v="25"/>
    <s v="Completed"/>
    <n v="4.2001460920379845"/>
    <n v="0.16800584368151938"/>
    <n v="0.1400048697345995"/>
    <n v="19.999999999999993"/>
    <n v="1.2"/>
  </r>
  <r>
    <s v="Sprint-45 - eCFD"/>
    <x v="1"/>
    <s v="Others"/>
    <s v="Others (such as -Analysis, Design, CI)"/>
    <x v="17"/>
    <n v="10.07"/>
    <n v="1"/>
    <n v="1"/>
    <s v="Completed"/>
    <n v="0.14000486973459947"/>
    <n v="0.14000486973459947"/>
    <n v="0.14000486973459947"/>
    <n v="0"/>
    <n v="1"/>
  </r>
  <r>
    <s v="TDM/TCM"/>
    <x v="1"/>
    <s v="Develop required service to retrieve data from DA layer"/>
    <s v="Develop required service to retrieve data from DA layer"/>
    <x v="3"/>
    <n v="2.86"/>
    <n v="90"/>
    <n v="90"/>
    <s v="Completed"/>
    <n v="12.599612319620936"/>
    <n v="0.13999569244023263"/>
    <n v="0.13999569244023263"/>
    <n v="0"/>
    <n v="1"/>
  </r>
  <r>
    <s v="TDM/TCM"/>
    <x v="1"/>
    <s v="File Upload UI"/>
    <s v="File Upload UI"/>
    <x v="3"/>
    <n v="0.71"/>
    <n v="85"/>
    <n v="85"/>
    <s v="Completed"/>
    <n v="11.900595029751489"/>
    <n v="0.14000700035001751"/>
    <n v="0.14000700035001751"/>
    <n v="0"/>
    <n v="1"/>
  </r>
  <r>
    <s v="TDM/TCM"/>
    <x v="1"/>
    <s v="UI to search specific node - first level search"/>
    <s v="UI to search specific node - first level search"/>
    <x v="21"/>
    <n v="0.56999999999999995"/>
    <n v="78"/>
    <n v="75"/>
    <s v="Completed"/>
    <n v="10.92019854906453"/>
    <n v="0.1456026473208604"/>
    <n v="0.1400025455008273"/>
    <n v="4.0000000000000009"/>
    <n v="1.04"/>
  </r>
  <r>
    <s v="TDM/TCM"/>
    <x v="1"/>
    <s v="UI grid to display node search result"/>
    <s v="UI grid to display node search result"/>
    <x v="22"/>
    <n v="0.28999999999999998"/>
    <n v="64"/>
    <n v="64"/>
    <s v="Completed"/>
    <n v="8.9594027064862338"/>
    <n v="0.1399906672888474"/>
    <n v="0.1399906672888474"/>
    <n v="0"/>
    <n v="1"/>
  </r>
  <r>
    <s v="TDM/TCM"/>
    <x v="1"/>
    <s v="UI Grid for presenting the response data"/>
    <s v="UI Grid for presenting the response data"/>
    <x v="23"/>
    <n v="0.86"/>
    <n v="92"/>
    <n v="90"/>
    <s v="Completed"/>
    <n v="12.879603704501402"/>
    <n v="0.14310670782779336"/>
    <n v="0.13999569244023263"/>
    <n v="2.2222222222222245"/>
    <n v="1.0222222222222221"/>
  </r>
  <r>
    <s v="TDM/TCM"/>
    <x v="1"/>
    <s v="UI Changes for multi select"/>
    <s v="UI Changes for multi select"/>
    <x v="24"/>
    <n v="0.71"/>
    <n v="85"/>
    <n v="85"/>
    <s v="Completed"/>
    <n v="11.900595029751489"/>
    <n v="0.14000700035001751"/>
    <n v="0.14000700035001751"/>
    <n v="0"/>
    <n v="1"/>
  </r>
  <r>
    <s v="TDM/TCM"/>
    <x v="1"/>
    <s v="UI to plot sankey"/>
    <s v="UI to plot sankey"/>
    <x v="25"/>
    <n v="0.43"/>
    <n v="71"/>
    <n v="70"/>
    <s v="Completed"/>
    <n v="9.9398012039759198"/>
    <n v="0.14199716005679885"/>
    <n v="0.13999720005599886"/>
    <n v="1.4285714285714359"/>
    <n v="1.0142857142857145"/>
  </r>
  <r>
    <s v="TDM/TCM"/>
    <x v="1"/>
    <s v="Zoom in / out for sankey "/>
    <s v="Zoom in / out for sankey "/>
    <x v="26"/>
    <n v="0.43"/>
    <n v="71"/>
    <n v="70"/>
    <s v="Completed"/>
    <n v="9.9398012039759198"/>
    <n v="0.14199716005679885"/>
    <n v="0.13999720005599886"/>
    <n v="1.4285714285714359"/>
    <n v="1.0142857142857145"/>
  </r>
  <r>
    <s v="TDM/TCM"/>
    <x v="1"/>
    <s v="Traceability for multi select"/>
    <s v="Traceability for multi select"/>
    <x v="27"/>
    <n v="0.71"/>
    <n v="85"/>
    <n v="85"/>
    <s v="Completed"/>
    <n v="11.900595029751489"/>
    <n v="0.14000700035001751"/>
    <n v="0.14000700035001751"/>
    <n v="0"/>
    <n v="1"/>
  </r>
  <r>
    <s v="TDM/TCM"/>
    <x v="1"/>
    <s v="UI changes to Hide nodes in between existing sankey for proper view"/>
    <s v="UI changes to Hide nodes in between existing sankey for proper view"/>
    <x v="28"/>
    <n v="0.86"/>
    <n v="92"/>
    <n v="90"/>
    <s v="Completed"/>
    <n v="12.879603704501402"/>
    <n v="0.14310670782779336"/>
    <n v="0.13999569244023263"/>
    <n v="2.2222222222222245"/>
    <n v="1.0222222222222221"/>
  </r>
  <r>
    <s v="TDM/TCM"/>
    <x v="1"/>
    <s v="Swapping TIRL and TC"/>
    <s v="Swapping TIRL and TC"/>
    <x v="29"/>
    <n v="0.86"/>
    <n v="92"/>
    <n v="90"/>
    <s v="Completed"/>
    <n v="12.879603704501402"/>
    <n v="0.14310670782779336"/>
    <n v="0.13999569244023263"/>
    <n v="2.2222222222222245"/>
    <n v="1.0222222222222221"/>
  </r>
  <r>
    <s v="TDM/TCM"/>
    <x v="1"/>
    <s v="UI changes for finding concurrent and compatiple TR's"/>
    <s v="UI changes for finding concurrent and compatiple TR's"/>
    <x v="29"/>
    <n v="0.28999999999999998"/>
    <n v="64"/>
    <n v="60"/>
    <s v="Completed"/>
    <n v="8.9594027064862338"/>
    <n v="0.14932337844143723"/>
    <n v="0.1399906672888474"/>
    <n v="6.6666666666666634"/>
    <n v="1.0666666666666667"/>
  </r>
  <r>
    <s v="TDM/TCM"/>
    <x v="1"/>
    <s v="UI To display parent child relation"/>
    <s v="UI To display parent child relation"/>
    <x v="25"/>
    <n v="0.56999999999999995"/>
    <n v="78"/>
    <n v="75"/>
    <s v="Completed"/>
    <n v="10.92019854906453"/>
    <n v="0.1456026473208604"/>
    <n v="0.1400025455008273"/>
    <n v="4.0000000000000009"/>
    <n v="1.04"/>
  </r>
  <r>
    <s v="TDM/TCM"/>
    <x v="1"/>
    <s v="Identify the changes required to convert FTCS TIRL interface from SQOOP based interface to file based interface"/>
    <s v="Identify the changes required to convert FTCS TIRL interface from SQOOP based interface to file based interface"/>
    <x v="26"/>
    <n v="0.71"/>
    <n v="85"/>
    <n v="85"/>
    <s v="Completed"/>
    <n v="11.900595029751489"/>
    <n v="0.14000700035001751"/>
    <n v="0.14000700035001751"/>
    <n v="0"/>
    <n v="1"/>
  </r>
  <r>
    <s v="TDM/TCM"/>
    <x v="1"/>
    <s v="FTCS TIRL conversion from SQOOP based interface to File based interface"/>
    <s v="FTCS TIRL conversion from SQOOP based interface to File based interface"/>
    <x v="27"/>
    <n v="0.28999999999999998"/>
    <n v="64"/>
    <n v="64"/>
    <s v="Completed"/>
    <n v="8.9594027064862338"/>
    <n v="0.1399906672888474"/>
    <n v="0.1399906672888474"/>
    <n v="0"/>
    <n v="1"/>
  </r>
  <r>
    <s v="TDM/TCM"/>
    <x v="1"/>
    <s v="Convert Excel file to CSV(Should support both xls format and xlsx format)"/>
    <s v="Convert Excel file to CSV(Should support both xls format and xlsx format)"/>
    <x v="21"/>
    <n v="0.86"/>
    <n v="92"/>
    <n v="90"/>
    <s v="Completed"/>
    <n v="12.879603704501402"/>
    <n v="0.14310670782779336"/>
    <n v="0.13999569244023263"/>
    <n v="2.2222222222222245"/>
    <n v="1.0222222222222221"/>
  </r>
  <r>
    <s v="TDM/TCM"/>
    <x v="1"/>
    <s v="Execute test cases for AETP WSRD,AETP OPT"/>
    <s v="Execute test cases for AETP WSRD,AETP OPT"/>
    <x v="22"/>
    <n v="0.86"/>
    <n v="92"/>
    <n v="92"/>
    <s v="Completed"/>
    <n v="12.879603704501402"/>
    <n v="0.13999569244023263"/>
    <n v="0.13999569244023263"/>
    <n v="0"/>
    <n v="1"/>
  </r>
  <r>
    <s v="TDM/TCM"/>
    <x v="1"/>
    <s v="Execute test cases for FTCS FTP, FTCS TIRL"/>
    <s v="Execute test cases for FTCS FTP, FTCS TIRL"/>
    <x v="23"/>
    <n v="0.71"/>
    <n v="85"/>
    <n v="85"/>
    <s v="Completed"/>
    <n v="11.900595029751489"/>
    <n v="0.14000700035001751"/>
    <n v="0.14000700035001751"/>
    <n v="0"/>
    <n v="1"/>
  </r>
  <r>
    <s v="TDM/TCM"/>
    <x v="1"/>
    <s v="Execute test cases for TPERT TCM, DOORS"/>
    <s v="Execute test cases for TPERT TCM, DOORS"/>
    <x v="24"/>
    <n v="0.56999999999999995"/>
    <n v="78"/>
    <n v="75"/>
    <s v="Completed"/>
    <n v="10.92019854906453"/>
    <n v="0.1456026473208604"/>
    <n v="0.1400025455008273"/>
    <n v="4.0000000000000009"/>
    <n v="1.04"/>
  </r>
  <r>
    <s v="TDM/TCM"/>
    <x v="1"/>
    <s v="Execute test cases for Neo4J module"/>
    <s v="Execute test cases for Neo4J module"/>
    <x v="30"/>
    <n v="0.43"/>
    <n v="71"/>
    <n v="70"/>
    <s v="Completed"/>
    <n v="9.9398012039759198"/>
    <n v="0.14199716005679885"/>
    <n v="0.13999720005599886"/>
    <n v="1.4285714285714359"/>
    <n v="1.0142857142857145"/>
  </r>
  <r>
    <s v="TDM/TCM"/>
    <x v="1"/>
    <s v="Prepare and execute testcases for AETP WSRD interface"/>
    <s v="Prepare and execute testcases for AETP WSRD interface"/>
    <x v="27"/>
    <n v="0.56999999999999995"/>
    <n v="28"/>
    <n v="25"/>
    <s v="Completed"/>
    <n v="3.9201960098004895"/>
    <n v="0.15680784039201959"/>
    <n v="0.14000700035001748"/>
    <n v="12.000000000000007"/>
    <n v="1.1200000000000001"/>
  </r>
  <r>
    <s v="TDM/TCM"/>
    <x v="1"/>
    <s v="Prepare and execute testcases for DOORS interface"/>
    <s v="Prepare and execute testcases for DOORS interface"/>
    <x v="26"/>
    <n v="0.43"/>
    <n v="21"/>
    <n v="20"/>
    <s v="Completed"/>
    <n v="2.9398040130657956"/>
    <n v="0.14699020065328977"/>
    <n v="0.1399906672888474"/>
    <n v="4.9999999999999982"/>
    <n v="1.05"/>
  </r>
  <r>
    <s v="TDM/TCM"/>
    <x v="1"/>
    <s v="Prepare and execute testcases for AETP OPT interface"/>
    <s v="Prepare and execute testcases for AETP OPT interface"/>
    <x v="28"/>
    <n v="0.71"/>
    <n v="85"/>
    <n v="85"/>
    <s v="Completed"/>
    <n v="11.900595029751489"/>
    <n v="0.14000700035001751"/>
    <n v="0.14000700035001751"/>
    <n v="0"/>
    <n v="1"/>
  </r>
  <r>
    <s v="TDM/TCM"/>
    <x v="1"/>
    <s v="Prepare and execute testcases for FTCS FTP interface"/>
    <s v="Prepare and execute testcases for FTCS FTP interface"/>
    <x v="30"/>
    <n v="0.86"/>
    <n v="92"/>
    <n v="90"/>
    <s v="Completed"/>
    <n v="12.879603704501402"/>
    <n v="0.14310670782779336"/>
    <n v="0.13999569244023263"/>
    <n v="2.2222222222222245"/>
    <n v="1.0222222222222221"/>
  </r>
  <r>
    <s v="TDM/TCM"/>
    <x v="1"/>
    <s v="Sprint Mgmt"/>
    <s v="Sprint Management Activities"/>
    <x v="11"/>
    <n v="0.71"/>
    <n v="35"/>
    <n v="32"/>
    <s v="Completed"/>
    <n v="4.9005880705684675"/>
    <n v="0.15314337720526461"/>
    <n v="0.14001680201624192"/>
    <n v="9.3750000000000053"/>
    <n v="1.09375"/>
  </r>
  <r>
    <s v="TDM/TCM"/>
    <x v="1"/>
    <s v="Sprint Support"/>
    <s v="Sprint Support Activities"/>
    <x v="9"/>
    <n v="0.71"/>
    <n v="35"/>
    <n v="32"/>
    <s v="Completed"/>
    <n v="4.9005880705684675"/>
    <n v="0.15314337720526461"/>
    <n v="0.14001680201624192"/>
    <n v="9.3750000000000053"/>
    <n v="1.09375"/>
  </r>
  <r>
    <s v="TDM/TCM"/>
    <x v="1"/>
    <s v="Others"/>
    <s v="Others (such as -Analysis, Design, CI)"/>
    <x v="12"/>
    <n v="0.71"/>
    <n v="10"/>
    <n v="10"/>
    <s v="Completed"/>
    <n v="1.4001680201624194"/>
    <n v="0.14001680201624195"/>
    <n v="0.14001680201624195"/>
    <n v="0"/>
    <n v="1"/>
  </r>
  <r>
    <s v="TDM/TCM"/>
    <x v="1"/>
    <s v="Others"/>
    <s v="Others (such as -Analysis, Design, CI)"/>
    <x v="25"/>
    <n v="0.71"/>
    <n v="25"/>
    <n v="25"/>
    <s v="Completed"/>
    <n v="3.5004200504060479"/>
    <n v="0.14001680201624192"/>
    <n v="0.14001680201624192"/>
    <n v="0"/>
    <n v="1"/>
  </r>
  <r>
    <s v="Sprint 46 - eCFD"/>
    <x v="1"/>
    <s v="Coding and Unit testing"/>
    <s v="Code development"/>
    <x v="13"/>
    <n v="0.14000000000000001"/>
    <n v="45"/>
    <n v="45"/>
    <s v="Completed"/>
    <n v="6.3000393752460955"/>
    <n v="0.14000087500546879"/>
    <n v="0.14000087500546879"/>
    <n v="0"/>
    <n v="1"/>
  </r>
  <r>
    <s v="Sprint 46 - eCFD"/>
    <x v="1"/>
    <s v="Coding and Unit testing"/>
    <s v="Code development"/>
    <x v="13"/>
    <n v="0.14000000000000001"/>
    <n v="50"/>
    <n v="50"/>
    <s v="Completed"/>
    <n v="7.0000437502734396"/>
    <n v="0.14000087500546879"/>
    <n v="0.14000087500546879"/>
    <n v="0"/>
    <n v="1"/>
  </r>
  <r>
    <s v="Sprint 46 - eCFD"/>
    <x v="1"/>
    <s v="Coding and Unit testing"/>
    <s v="Code development"/>
    <x v="14"/>
    <n v="0.14000000000000001"/>
    <n v="45"/>
    <n v="45"/>
    <s v="Completed"/>
    <n v="6.3000393752460955"/>
    <n v="0.14000087500546879"/>
    <n v="0.14000087500546879"/>
    <n v="0"/>
    <n v="1"/>
  </r>
  <r>
    <s v="Sprint 46 - eCFD"/>
    <x v="1"/>
    <s v="Coding and Unit testing"/>
    <s v="Code development"/>
    <x v="15"/>
    <n v="0.14000000000000001"/>
    <n v="45"/>
    <n v="45"/>
    <s v="Completed"/>
    <n v="6.3000393752460955"/>
    <n v="0.14000087500546879"/>
    <n v="0.14000087500546879"/>
    <n v="0"/>
    <n v="1"/>
  </r>
  <r>
    <s v="Sprint 46 - eCFD"/>
    <x v="1"/>
    <s v="Coding and Unit testing"/>
    <s v="Code development"/>
    <x v="16"/>
    <n v="0.14000000000000001"/>
    <n v="60"/>
    <n v="60"/>
    <s v="Completed"/>
    <n v="8.4000525003281279"/>
    <n v="0.14000087500546879"/>
    <n v="0.14000087500546879"/>
    <n v="0"/>
    <n v="1"/>
  </r>
  <r>
    <s v="Sprint 46 - eCFD"/>
    <x v="1"/>
    <s v="Coding and Unit testing"/>
    <s v="Code development"/>
    <x v="17"/>
    <n v="0.14000000000000001"/>
    <n v="75"/>
    <n v="75"/>
    <s v="Completed"/>
    <n v="10.500065625410159"/>
    <n v="0.14000087500546879"/>
    <n v="0.14000087500546879"/>
    <n v="0"/>
    <n v="1"/>
  </r>
  <r>
    <s v="Sprint 46 - eCFD"/>
    <x v="1"/>
    <s v="Coding and Unit testing"/>
    <s v="Code development"/>
    <x v="18"/>
    <n v="0.14000000000000001"/>
    <n v="85"/>
    <n v="85"/>
    <s v="Completed"/>
    <n v="11.900074375464847"/>
    <n v="0.14000087500546879"/>
    <n v="0.14000087500546879"/>
    <n v="0"/>
    <n v="1"/>
  </r>
  <r>
    <s v="Sprint 46 - eCFD"/>
    <x v="1"/>
    <s v="Coding and Unit testing"/>
    <s v="Code development"/>
    <x v="19"/>
    <n v="0.14000000000000001"/>
    <n v="52"/>
    <n v="52"/>
    <s v="Completed"/>
    <n v="7.2800455002843769"/>
    <n v="0.14000087500546879"/>
    <n v="0.14000087500546879"/>
    <n v="0"/>
    <n v="1"/>
  </r>
  <r>
    <s v="Sprint 46 - eCFD"/>
    <x v="1"/>
    <s v="Testcase Creation"/>
    <s v="Test case creation"/>
    <x v="20"/>
    <n v="0.14000000000000001"/>
    <n v="73"/>
    <n v="70"/>
    <s v="Completed"/>
    <n v="10.220399234345093"/>
    <n v="0.14600570334778704"/>
    <n v="0.14000546896363142"/>
    <n v="4.2857142857142749"/>
    <n v="1.0428571428571427"/>
  </r>
  <r>
    <s v="Sprint 46 - eCFD"/>
    <x v="1"/>
    <s v="Testcase Review"/>
    <s v="Test case review"/>
    <x v="17"/>
    <n v="0.28999999999999998"/>
    <n v="18"/>
    <n v="15"/>
    <s v="Completed"/>
    <n v="2.5194095133952983"/>
    <n v="0.16796063422635321"/>
    <n v="0.13996719518862769"/>
    <n v="19.999999999999993"/>
    <n v="1.2"/>
  </r>
  <r>
    <s v="Sprint 46 - eCFD"/>
    <x v="1"/>
    <s v="Testing"/>
    <s v="Manual testing"/>
    <x v="19"/>
    <n v="0.28999999999999998"/>
    <n v="36"/>
    <n v="36"/>
    <s v="Completed"/>
    <n v="5.0397375136711622"/>
    <n v="0.13999270871308783"/>
    <n v="0.13999270871308783"/>
    <n v="0"/>
    <n v="1"/>
  </r>
  <r>
    <s v="Sprint 46 - eCFD"/>
    <x v="1"/>
    <s v="Testing"/>
    <s v="Manual testing"/>
    <x v="14"/>
    <n v="0.28999999999999998"/>
    <n v="45"/>
    <n v="45"/>
    <s v="Completed"/>
    <n v="6.2996718920889538"/>
    <n v="0.13999270871308786"/>
    <n v="0.13999270871308786"/>
    <n v="0"/>
    <n v="1"/>
  </r>
  <r>
    <s v="Sprint 46 - eCFD"/>
    <x v="1"/>
    <s v="Testing"/>
    <s v="Manual testing"/>
    <x v="15"/>
    <n v="0.28999999999999998"/>
    <n v="1"/>
    <n v="1"/>
    <s v="Completed"/>
    <n v="0.13999270871308783"/>
    <n v="0.13999270871308783"/>
    <n v="0.13999270871308783"/>
    <n v="0"/>
    <n v="1"/>
  </r>
  <r>
    <s v="Sprint 46 - eCFD"/>
    <x v="1"/>
    <s v="Review and Rework"/>
    <s v="Sprint rework"/>
    <x v="16"/>
    <n v="0.43"/>
    <n v="27"/>
    <n v="25"/>
    <s v="Completed"/>
    <n v="3.7798031352533719"/>
    <n v="0.15119212541013488"/>
    <n v="0.13999270871308786"/>
    <n v="7.9999999999999947"/>
    <n v="1.0799999999999998"/>
  </r>
  <r>
    <s v="Sprint 46 - eCFD"/>
    <x v="1"/>
    <s v="Sprint Mgmt"/>
    <s v="Sprint Management Activities"/>
    <x v="11"/>
    <n v="1.71"/>
    <n v="44"/>
    <n v="40"/>
    <s v="Completed"/>
    <n v="6.1605775541457026"/>
    <n v="0.15401443885364258"/>
    <n v="0.14001312623058415"/>
    <n v="10.000000000000007"/>
    <n v="1.1000000000000001"/>
  </r>
  <r>
    <s v="Sprint 46 - eCFD"/>
    <x v="1"/>
    <s v="Sprint Support"/>
    <s v="Sprint Support Activities"/>
    <x v="12"/>
    <n v="9.43"/>
    <n v="44"/>
    <n v="40"/>
    <s v="Completed"/>
    <n v="6.1599037515038821"/>
    <n v="0.15399759378759706"/>
    <n v="0.13999781253417914"/>
    <n v="10"/>
    <n v="1.1000000000000001"/>
  </r>
  <r>
    <s v="Sprint 46 - eCFD"/>
    <x v="1"/>
    <s v="Sprint Support"/>
    <s v="Sprint Support Activities"/>
    <x v="9"/>
    <n v="9.43"/>
    <n v="38"/>
    <n v="38"/>
    <s v="Completed"/>
    <n v="5.3199168762988069"/>
    <n v="0.13999781253417912"/>
    <n v="0.13999781253417912"/>
    <n v="0"/>
    <n v="1"/>
  </r>
  <r>
    <s v="Sprint 46 - eCFD"/>
    <x v="1"/>
    <s v="Review and Rework"/>
    <s v="Resolving impediments"/>
    <x v="15"/>
    <n v="0.14000000000000001"/>
    <n v="45"/>
    <n v="45"/>
    <s v="Completed"/>
    <n v="6.3002461033634134"/>
    <n v="0.14000546896363142"/>
    <n v="0.14000546896363142"/>
    <n v="0"/>
    <n v="1"/>
  </r>
  <r>
    <s v="Sprint 46 - eCFD"/>
    <x v="1"/>
    <s v="Review and Rework"/>
    <s v="Resolving impediments"/>
    <x v="15"/>
    <n v="0.14000000000000001"/>
    <n v="15"/>
    <n v="15"/>
    <s v="Completed"/>
    <n v="2.1000820344544713"/>
    <n v="0.14000546896363142"/>
    <n v="0.14000546896363142"/>
    <n v="0"/>
    <n v="1"/>
  </r>
  <r>
    <s v="Sprint 46 - eCFD"/>
    <x v="1"/>
    <s v="Others"/>
    <s v="Others (such as -Analysis, Design, CI)"/>
    <x v="17"/>
    <n v="5.71"/>
    <n v="10"/>
    <n v="10"/>
    <s v="Completed"/>
    <n v="1.4001312623058411"/>
    <n v="0.1400131262305841"/>
    <n v="0.1400131262305841"/>
    <n v="0"/>
    <n v="1"/>
  </r>
  <r>
    <s v="Sprint 46 - eCFD"/>
    <x v="1"/>
    <s v="Others"/>
    <s v="Others (such as -Analysis, Design, CI)"/>
    <x v="20"/>
    <n v="5.71"/>
    <n v="30"/>
    <n v="30"/>
    <s v="Completed"/>
    <n v="4.2003937869175232"/>
    <n v="0.1400131262305841"/>
    <n v="0.1400131262305841"/>
    <n v="0"/>
    <n v="1"/>
  </r>
  <r>
    <s v="Sprint 46 - eCFD"/>
    <x v="1"/>
    <s v="Review and Rework"/>
    <s v="Resolving impediments"/>
    <x v="19"/>
    <n v="0.14000000000000001"/>
    <n v="13"/>
    <n v="10"/>
    <s v="Completed"/>
    <n v="1.8200710965272084"/>
    <n v="0.18200710965272085"/>
    <n v="0.14000546896363142"/>
    <n v="30.000000000000004"/>
    <n v="1.3"/>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m/>
    <x v="2"/>
    <m/>
    <m/>
    <x v="10"/>
    <s v=""/>
    <m/>
    <m/>
    <m/>
    <s v=""/>
    <s v=""/>
    <s v=""/>
    <s v=""/>
    <s v=""/>
  </r>
  <r>
    <s v="Sprint 46 - eCFD"/>
    <x v="1"/>
    <s v="Sprint Support"/>
    <s v="Sprint Support Activities"/>
    <x v="29"/>
    <m/>
    <n v="9"/>
    <n v="9"/>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r>
    <m/>
    <x v="2"/>
    <m/>
    <m/>
    <x v="10"/>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3">
  <r>
    <n v="1"/>
    <x v="0"/>
    <x v="0"/>
    <s v="Coding and Unit testing"/>
    <x v="0"/>
    <x v="0"/>
    <n v="1.29"/>
    <n v="80"/>
    <n v="80"/>
    <s v="Completed"/>
    <n v="11.1999192313517"/>
    <n v="0.13999899039189626"/>
    <n v="0.13999899039189626"/>
    <n v="0"/>
    <n v="1"/>
    <n v="1"/>
  </r>
  <r>
    <n v="2"/>
    <x v="0"/>
    <x v="0"/>
    <s v="Coding and Unit testing"/>
    <x v="0"/>
    <x v="1"/>
    <n v="1.29"/>
    <n v="81"/>
    <n v="72"/>
    <s v="Completed"/>
    <n v="11.339918221743595"/>
    <n v="0.15749886419088327"/>
    <n v="0.13999899039189623"/>
    <n v="12.500000000000011"/>
    <n v="1.125"/>
    <n v="1"/>
  </r>
  <r>
    <n v="3"/>
    <x v="0"/>
    <x v="0"/>
    <s v="Coding and Unit testing"/>
    <x v="0"/>
    <x v="2"/>
    <n v="1.29"/>
    <n v="90"/>
    <n v="80"/>
    <s v="Completed"/>
    <n v="12.599909135270662"/>
    <n v="0.15749886419088327"/>
    <n v="0.13999899039189626"/>
    <n v="12.499999999999988"/>
    <n v="1.1249999999999998"/>
    <n v="1"/>
  </r>
  <r>
    <n v="4"/>
    <x v="0"/>
    <x v="0"/>
    <s v="Coding and Unit testing"/>
    <x v="0"/>
    <x v="3"/>
    <n v="1.29"/>
    <n v="90"/>
    <n v="90"/>
    <s v="Completed"/>
    <n v="12.599909135270662"/>
    <n v="0.13999899039189626"/>
    <n v="0.13999899039189626"/>
    <n v="0"/>
    <n v="1"/>
    <n v="1"/>
  </r>
  <r>
    <n v="5"/>
    <x v="0"/>
    <x v="0"/>
    <s v="Coding and Unit testing"/>
    <x v="0"/>
    <x v="4"/>
    <n v="1.29"/>
    <n v="81"/>
    <n v="80"/>
    <s v="Completed"/>
    <n v="11.339918221743595"/>
    <n v="0.14174897777179493"/>
    <n v="0.13999899039189623"/>
    <n v="1.2500000000000009"/>
    <n v="1.0125"/>
    <n v="1"/>
  </r>
  <r>
    <n v="6"/>
    <x v="0"/>
    <x v="0"/>
    <s v="Coding and Unit testing"/>
    <x v="0"/>
    <x v="5"/>
    <n v="1.29"/>
    <n v="81"/>
    <n v="80"/>
    <s v="Completed"/>
    <n v="11.339918221743595"/>
    <n v="0.14174897777179493"/>
    <n v="0.13999899039189623"/>
    <n v="1.2500000000000009"/>
    <n v="1.0125"/>
    <n v="1"/>
  </r>
  <r>
    <n v="7"/>
    <x v="0"/>
    <x v="0"/>
    <s v="Coding and Unit testing"/>
    <x v="0"/>
    <x v="6"/>
    <n v="1.29"/>
    <n v="90"/>
    <n v="85"/>
    <s v="Completed"/>
    <n v="12.599909135270662"/>
    <n v="0.14823422512083131"/>
    <n v="0.13999899039189626"/>
    <n v="5.8823529411764603"/>
    <n v="1.0588235294117645"/>
    <n v="1"/>
  </r>
  <r>
    <n v="8"/>
    <x v="0"/>
    <x v="0"/>
    <s v="Testing"/>
    <x v="1"/>
    <x v="7"/>
    <n v="16.29"/>
    <n v="50"/>
    <n v="45"/>
    <s v="Completed"/>
    <n v="6.9995961771436255"/>
    <n v="0.1555465817143028"/>
    <n v="0.13999192354287252"/>
    <n v="11.111111111111116"/>
    <n v="1.1111111111111112"/>
    <n v="1"/>
  </r>
  <r>
    <n v="9"/>
    <x v="0"/>
    <x v="0"/>
    <s v="Testcase Review"/>
    <x v="2"/>
    <x v="7"/>
    <n v="9.7100000000000009"/>
    <n v="20"/>
    <n v="20"/>
    <s v="Completed"/>
    <n v="2.8004039044092899"/>
    <n v="0.14002019522046449"/>
    <n v="0.14002019522046449"/>
    <n v="0"/>
    <n v="1"/>
    <n v="1"/>
  </r>
  <r>
    <n v="10"/>
    <x v="0"/>
    <x v="0"/>
    <s v="Testcase Creation"/>
    <x v="1"/>
    <x v="7"/>
    <n v="16.29"/>
    <n v="8"/>
    <n v="8"/>
    <s v="Completed"/>
    <n v="1.1199353883429801"/>
    <n v="0.13999192354287252"/>
    <n v="0.13999192354287252"/>
    <n v="0"/>
    <n v="1"/>
    <n v="1"/>
  </r>
  <r>
    <n v="11"/>
    <x v="0"/>
    <x v="0"/>
    <s v="Manual Testing"/>
    <x v="3"/>
    <x v="7"/>
    <n v="18.86"/>
    <n v="100"/>
    <n v="89"/>
    <s v="Completed"/>
    <n v="13.999663469628135"/>
    <n v="0.15729958954638354"/>
    <n v="0.13999663469628135"/>
    <n v="12.359550561797755"/>
    <n v="1.1235955056179776"/>
    <n v="1"/>
  </r>
  <r>
    <n v="12"/>
    <x v="0"/>
    <x v="0"/>
    <s v="Resolving Defects and Rework"/>
    <x v="4"/>
    <x v="0"/>
    <n v="-125.71"/>
    <n v="30"/>
    <n v="25"/>
    <s v="Completed"/>
    <n v="4.1997577062861753"/>
    <n v="0.16799030825144701"/>
    <n v="0.13999192354287252"/>
    <n v="19.999999999999993"/>
    <n v="1.2"/>
    <n v="1"/>
  </r>
  <r>
    <n v="13"/>
    <x v="0"/>
    <x v="0"/>
    <s v="Resolving Defects and Rework"/>
    <x v="4"/>
    <x v="1"/>
    <n v="-125.71"/>
    <n v="30"/>
    <n v="40"/>
    <s v="Completed"/>
    <n v="4.1997577062861753"/>
    <n v="0.10499394265715438"/>
    <n v="0.13999192354287252"/>
    <n v="-25.000000000000007"/>
    <n v="0.75"/>
    <n v="1"/>
  </r>
  <r>
    <n v="14"/>
    <x v="0"/>
    <x v="0"/>
    <s v="Resolving Defects and Rework"/>
    <x v="4"/>
    <x v="2"/>
    <n v="-125.71"/>
    <n v="30"/>
    <n v="30"/>
    <s v="Completed"/>
    <n v="4.1997577062861753"/>
    <n v="0.13999192354287252"/>
    <n v="0.13999192354287252"/>
    <n v="0"/>
    <n v="1"/>
    <n v="1"/>
  </r>
  <r>
    <n v="15"/>
    <x v="0"/>
    <x v="0"/>
    <s v="Resolving Defects and Rework"/>
    <x v="4"/>
    <x v="3"/>
    <n v="-125.71"/>
    <n v="30"/>
    <n v="45"/>
    <s v="Completed"/>
    <n v="4.1997577062861753"/>
    <n v="9.3327949028581672E-2"/>
    <n v="0.13999192354287252"/>
    <n v="-33.333333333333336"/>
    <n v="0.66666666666666663"/>
    <n v="1"/>
  </r>
  <r>
    <n v="16"/>
    <x v="0"/>
    <x v="0"/>
    <s v="Resolving Defects and Rework"/>
    <x v="4"/>
    <x v="4"/>
    <n v="-125.71"/>
    <n v="20"/>
    <n v="15"/>
    <s v="Completed"/>
    <n v="2.7998384708574506"/>
    <n v="0.18665589805716337"/>
    <n v="0.13999192354287254"/>
    <n v="33.333333333333321"/>
    <n v="1.3333333333333333"/>
    <n v="1"/>
  </r>
  <r>
    <n v="17"/>
    <x v="0"/>
    <x v="0"/>
    <s v="Resolving Defects and Rework"/>
    <x v="4"/>
    <x v="5"/>
    <n v="-125.71"/>
    <n v="30"/>
    <n v="30"/>
    <s v="Completed"/>
    <n v="4.1997577062861753"/>
    <n v="0.13999192354287252"/>
    <n v="0.13999192354287252"/>
    <n v="0"/>
    <n v="1"/>
    <n v="1"/>
  </r>
  <r>
    <n v="18"/>
    <x v="0"/>
    <x v="0"/>
    <s v="Sprint Grooming and Analysis"/>
    <x v="4"/>
    <x v="6"/>
    <n v="-125.71"/>
    <n v="30"/>
    <n v="25"/>
    <s v="Completed"/>
    <n v="4.1997577062861753"/>
    <n v="0.16799030825144701"/>
    <n v="0.13999192354287252"/>
    <n v="19.999999999999993"/>
    <n v="1.2"/>
    <n v="1"/>
  </r>
  <r>
    <n v="19"/>
    <x v="0"/>
    <x v="0"/>
    <s v="Sprint Grooming and Analysis"/>
    <x v="5"/>
    <x v="0"/>
    <n v="52.14"/>
    <n v="40"/>
    <n v="35"/>
    <s v="Completed"/>
    <n v="5.6000538466716021"/>
    <n v="0.1600015384763315"/>
    <n v="0.14000134616679005"/>
    <n v="14.285714285714294"/>
    <n v="1.142857142857143"/>
    <n v="1"/>
  </r>
  <r>
    <n v="20"/>
    <x v="0"/>
    <x v="0"/>
    <s v="Sprint Grooming and Analysis"/>
    <x v="5"/>
    <x v="1"/>
    <n v="52.14"/>
    <n v="40"/>
    <n v="40"/>
    <s v="Completed"/>
    <n v="5.6000538466716021"/>
    <n v="0.14000134616679005"/>
    <n v="0.14000134616679005"/>
    <n v="0"/>
    <n v="1"/>
    <n v="1"/>
  </r>
  <r>
    <n v="21"/>
    <x v="0"/>
    <x v="0"/>
    <s v="Sprint Grooming and Analysis"/>
    <x v="5"/>
    <x v="2"/>
    <n v="52.14"/>
    <n v="40"/>
    <n v="30"/>
    <s v="Completed"/>
    <n v="5.6000538466716021"/>
    <n v="0.18666846155572006"/>
    <n v="0.14000134616679005"/>
    <n v="33.333333333333329"/>
    <n v="1.3333333333333333"/>
    <n v="1"/>
  </r>
  <r>
    <n v="22"/>
    <x v="0"/>
    <x v="0"/>
    <s v="Sprint Grooming and Analysis"/>
    <x v="5"/>
    <x v="3"/>
    <n v="52.14"/>
    <n v="40"/>
    <n v="40"/>
    <s v="Completed"/>
    <n v="5.6000538466716021"/>
    <n v="0.14000134616679005"/>
    <n v="0.14000134616679005"/>
    <n v="0"/>
    <n v="1"/>
    <n v="1"/>
  </r>
  <r>
    <n v="23"/>
    <x v="0"/>
    <x v="0"/>
    <s v="Sprint Grooming and Analysis"/>
    <x v="5"/>
    <x v="4"/>
    <n v="52.14"/>
    <n v="45"/>
    <n v="40"/>
    <s v="Completed"/>
    <n v="6.3000605775055529"/>
    <n v="0.15750151443763882"/>
    <n v="0.14000134616679005"/>
    <n v="12.500000000000011"/>
    <n v="1.125"/>
    <n v="1"/>
  </r>
  <r>
    <n v="24"/>
    <x v="0"/>
    <x v="0"/>
    <s v="Sprint Grooming and Analysis"/>
    <x v="5"/>
    <x v="5"/>
    <n v="52.14"/>
    <n v="40"/>
    <n v="40"/>
    <s v="Completed"/>
    <n v="5.6000538466716021"/>
    <n v="0.14000134616679005"/>
    <n v="0.14000134616679005"/>
    <n v="0"/>
    <n v="1"/>
    <n v="1"/>
  </r>
  <r>
    <n v="25"/>
    <x v="0"/>
    <x v="0"/>
    <s v="Sprint Grooming and Analysis"/>
    <x v="5"/>
    <x v="6"/>
    <e v="#REF!"/>
    <n v="40"/>
    <n v="30"/>
    <s v="Completed"/>
    <e v="#REF!"/>
    <s v=""/>
    <s v=""/>
    <s v=""/>
    <s v=""/>
    <s v=""/>
  </r>
  <r>
    <n v="26"/>
    <x v="0"/>
    <x v="0"/>
    <s v="Reviews and Fixes"/>
    <x v="6"/>
    <x v="6"/>
    <n v="9.2899999999999991"/>
    <n v="30"/>
    <n v="30"/>
    <s v="Completed"/>
    <n v="4.1997577062861753"/>
    <n v="0.13999192354287252"/>
    <n v="0.13999192354287252"/>
    <n v="0"/>
    <n v="1"/>
    <n v="1"/>
  </r>
  <r>
    <n v="27"/>
    <x v="0"/>
    <x v="0"/>
    <s v="Reviews and Fixes"/>
    <x v="6"/>
    <x v="4"/>
    <n v="9.2899999999999991"/>
    <n v="35"/>
    <n v="35"/>
    <s v="Completed"/>
    <n v="4.8997173240005374"/>
    <n v="0.13999192354287249"/>
    <n v="0.13999192354287249"/>
    <n v="0"/>
    <n v="1"/>
    <n v="1"/>
  </r>
  <r>
    <n v="28"/>
    <x v="1"/>
    <x v="1"/>
    <s v="Coding and Unit testing"/>
    <x v="0"/>
    <x v="0"/>
    <n v="0.86"/>
    <n v="120"/>
    <n v="115"/>
    <s v="Completed"/>
    <n v="16.799925333665183"/>
    <n v="0.14608630724926247"/>
    <n v="0.13999937778054319"/>
    <n v="4.3478260869565268"/>
    <n v="1.0434782608695652"/>
    <n v="1"/>
  </r>
  <r>
    <n v="29"/>
    <x v="1"/>
    <x v="1"/>
    <s v="Coding and Unit testing"/>
    <x v="0"/>
    <x v="1"/>
    <n v="0.86"/>
    <n v="90"/>
    <n v="80"/>
    <s v="Completed"/>
    <n v="12.599944000248886"/>
    <n v="0.15749930000311108"/>
    <n v="0.13999937778054317"/>
    <n v="12.500000000000011"/>
    <n v="1.125"/>
    <n v="1"/>
  </r>
  <r>
    <n v="30"/>
    <x v="1"/>
    <x v="1"/>
    <s v="Coding and Unit testing"/>
    <x v="0"/>
    <x v="2"/>
    <n v="0.86"/>
    <n v="90"/>
    <n v="90"/>
    <s v="Completed"/>
    <n v="12.599944000248886"/>
    <n v="0.13999937778054317"/>
    <n v="0.13999937778054317"/>
    <n v="0"/>
    <n v="1"/>
    <n v="1"/>
  </r>
  <r>
    <n v="32"/>
    <x v="1"/>
    <x v="1"/>
    <s v="Coding and Unit testing"/>
    <x v="0"/>
    <x v="8"/>
    <n v="0.86"/>
    <n v="80"/>
    <n v="80"/>
    <s v="Completed"/>
    <n v="11.199950222443453"/>
    <n v="0.13999937778054317"/>
    <n v="0.13999937778054317"/>
    <n v="0"/>
    <n v="1"/>
    <n v="1"/>
  </r>
  <r>
    <n v="33"/>
    <x v="1"/>
    <x v="1"/>
    <s v="Coding and Unit testing"/>
    <x v="0"/>
    <x v="4"/>
    <n v="0.86"/>
    <n v="80"/>
    <n v="78"/>
    <s v="Completed"/>
    <n v="11.199950222443453"/>
    <n v="0.14358910541594172"/>
    <n v="0.13999937778054317"/>
    <n v="2.5641025641025723"/>
    <n v="1.0256410256410258"/>
    <n v="1"/>
  </r>
  <r>
    <n v="34"/>
    <x v="1"/>
    <x v="1"/>
    <s v="Coding and Unit testing"/>
    <x v="0"/>
    <x v="5"/>
    <n v="0.86"/>
    <n v="90"/>
    <n v="90"/>
    <s v="Completed"/>
    <n v="12.599944000248886"/>
    <n v="0.13999937778054317"/>
    <n v="0.13999937778054317"/>
    <n v="0"/>
    <n v="1"/>
    <n v="1"/>
  </r>
  <r>
    <n v="35"/>
    <x v="1"/>
    <x v="1"/>
    <s v="Coding and Unit testing"/>
    <x v="0"/>
    <x v="6"/>
    <n v="0.86"/>
    <n v="92"/>
    <n v="85"/>
    <s v="Completed"/>
    <n v="12.879942755809971"/>
    <n v="0.15152873830364672"/>
    <n v="0.13999937778054317"/>
    <n v="8.2352941176470544"/>
    <n v="1.0823529411764705"/>
    <n v="1"/>
  </r>
  <r>
    <n v="36"/>
    <x v="1"/>
    <x v="1"/>
    <s v="Testcase Creation"/>
    <x v="1"/>
    <x v="7"/>
    <n v="0.28999999999999998"/>
    <n v="64"/>
    <n v="63"/>
    <s v="Completed"/>
    <n v="8.9594027064862338"/>
    <n v="0.14221274137279735"/>
    <n v="0.1399906672888474"/>
    <n v="1.5873015873015799"/>
    <n v="1.0158730158730158"/>
    <n v="1"/>
  </r>
  <r>
    <n v="37"/>
    <x v="1"/>
    <x v="1"/>
    <s v="Testcase Review"/>
    <x v="2"/>
    <x v="9"/>
    <n v="7.0000000000000007E-2"/>
    <n v="16"/>
    <n v="15"/>
    <s v="Completed"/>
    <n v="2.24019912881145"/>
    <n v="0.14934660858743001"/>
    <n v="0.14001244555071563"/>
    <n v="6.6666666666666767"/>
    <n v="1.0666666666666667"/>
    <n v="1"/>
  </r>
  <r>
    <n v="38"/>
    <x v="1"/>
    <x v="1"/>
    <s v="Testing"/>
    <x v="3"/>
    <x v="7"/>
    <n v="0.71"/>
    <n v="110"/>
    <n v="110"/>
    <s v="Completed"/>
    <n v="15.400410677618069"/>
    <n v="0.14000373343289155"/>
    <n v="0.14000373343289155"/>
    <n v="0"/>
    <n v="1"/>
    <n v="1"/>
  </r>
  <r>
    <n v="39"/>
    <x v="1"/>
    <x v="1"/>
    <s v="Testing"/>
    <x v="3"/>
    <x v="4"/>
    <n v="0.71"/>
    <n v="50"/>
    <n v="50"/>
    <s v="Completed"/>
    <n v="7.0001866716445775"/>
    <n v="0.14000373343289155"/>
    <n v="0.14000373343289155"/>
    <n v="0"/>
    <n v="1"/>
    <n v="1"/>
  </r>
  <r>
    <n v="40"/>
    <x v="1"/>
    <x v="1"/>
    <s v="Review and Rework"/>
    <x v="7"/>
    <x v="4"/>
    <n v="0.36"/>
    <n v="50"/>
    <n v="50"/>
    <s v="Completed"/>
    <n v="6.9997511199601785"/>
    <n v="0.13999502239920358"/>
    <n v="0.13999502239920358"/>
    <n v="0"/>
    <n v="1"/>
    <n v="1"/>
  </r>
  <r>
    <n v="41"/>
    <x v="1"/>
    <x v="1"/>
    <s v="Review and Rework"/>
    <x v="7"/>
    <x v="9"/>
    <n v="0.36"/>
    <n v="30"/>
    <n v="30"/>
    <s v="Completed"/>
    <n v="4.1998506719761073"/>
    <n v="0.13999502239920358"/>
    <n v="0.13999502239920358"/>
    <n v="0"/>
    <n v="1"/>
    <n v="1"/>
  </r>
  <r>
    <n v="42"/>
    <x v="1"/>
    <x v="1"/>
    <s v="Resolving Issues and Rework"/>
    <x v="4"/>
    <x v="0"/>
    <n v="0.36"/>
    <n v="55"/>
    <n v="50"/>
    <s v="Completed"/>
    <n v="7.6997262319561965"/>
    <n v="0.15399452463912394"/>
    <n v="0.13999502239920358"/>
    <n v="10"/>
    <n v="1.1000000000000001"/>
    <n v="1"/>
  </r>
  <r>
    <n v="43"/>
    <x v="1"/>
    <x v="1"/>
    <s v="Resolving Issues and Rework"/>
    <x v="4"/>
    <x v="1"/>
    <n v="0.36"/>
    <n v="25"/>
    <n v="25"/>
    <s v="Completed"/>
    <n v="3.4998755599800893"/>
    <n v="0.13999502239920358"/>
    <n v="0.13999502239920358"/>
    <n v="0"/>
    <n v="1"/>
    <n v="1"/>
  </r>
  <r>
    <n v="44"/>
    <x v="1"/>
    <x v="1"/>
    <s v="Others"/>
    <x v="5"/>
    <x v="1"/>
    <n v="0.43"/>
    <n v="60"/>
    <n v="60"/>
    <s v="Completed"/>
    <n v="8.3999626668325913"/>
    <n v="0.13999937778054319"/>
    <n v="0.13999937778054319"/>
    <n v="0"/>
    <n v="1"/>
    <n v="1"/>
  </r>
  <r>
    <n v="45"/>
    <x v="1"/>
    <x v="1"/>
    <s v="Others"/>
    <x v="5"/>
    <x v="2"/>
    <n v="0.43"/>
    <n v="80"/>
    <n v="80"/>
    <s v="Completed"/>
    <n v="11.199950222443453"/>
    <n v="0.13999937778054317"/>
    <n v="0.13999937778054317"/>
    <n v="0"/>
    <n v="1"/>
    <n v="1"/>
  </r>
  <r>
    <n v="46"/>
    <x v="1"/>
    <x v="1"/>
    <s v="Others"/>
    <x v="5"/>
    <x v="8"/>
    <n v="0.43"/>
    <n v="90"/>
    <n v="85"/>
    <s v="Completed"/>
    <n v="12.599944000248886"/>
    <n v="0.14823463529704572"/>
    <n v="0.13999937778054317"/>
    <n v="5.8823529411764843"/>
    <n v="1.0588235294117649"/>
    <n v="1"/>
  </r>
  <r>
    <n v="46"/>
    <x v="2"/>
    <x v="2"/>
    <m/>
    <x v="8"/>
    <x v="10"/>
    <s v=""/>
    <m/>
    <m/>
    <m/>
    <s v=""/>
    <s v=""/>
    <s v=""/>
    <s v=""/>
    <s v=""/>
    <s v=""/>
  </r>
  <r>
    <n v="47"/>
    <x v="1"/>
    <x v="1"/>
    <s v="Others"/>
    <x v="5"/>
    <x v="5"/>
    <n v="0.43"/>
    <n v="80"/>
    <n v="80"/>
    <s v="Completed"/>
    <n v="11.199950222443453"/>
    <n v="0.13999937778054317"/>
    <n v="0.13999937778054317"/>
    <n v="0"/>
    <n v="1"/>
    <n v="1"/>
  </r>
  <r>
    <n v="48"/>
    <x v="1"/>
    <x v="1"/>
    <s v="Sprint Mgmt"/>
    <x v="9"/>
    <x v="11"/>
    <n v="0.36"/>
    <n v="60"/>
    <n v="60"/>
    <s v="Completed"/>
    <n v="8.3997013439522146"/>
    <n v="0.13999502239920358"/>
    <n v="0.13999502239920358"/>
    <n v="0"/>
    <n v="1"/>
    <n v="1"/>
  </r>
  <r>
    <n v="49"/>
    <x v="1"/>
    <x v="1"/>
    <s v="Sprint Mgmt"/>
    <x v="9"/>
    <x v="9"/>
    <n v="0.36"/>
    <n v="20"/>
    <n v="20"/>
    <s v="Completed"/>
    <n v="2.7999004479840717"/>
    <n v="0.13999502239920358"/>
    <n v="0.13999502239920358"/>
    <n v="0"/>
    <n v="1"/>
    <n v="1"/>
  </r>
  <r>
    <n v="50"/>
    <x v="1"/>
    <x v="1"/>
    <s v="Sprint Support"/>
    <x v="10"/>
    <x v="12"/>
    <n v="0.71"/>
    <n v="85"/>
    <n v="85"/>
    <s v="Completed"/>
    <n v="11.90031734179578"/>
    <n v="0.14000373343289155"/>
    <n v="0.14000373343289155"/>
    <n v="0"/>
    <n v="1"/>
    <n v="1"/>
  </r>
  <r>
    <n v="51"/>
    <x v="1"/>
    <x v="1"/>
    <s v="Sprint Support"/>
    <x v="10"/>
    <x v="6"/>
    <n v="0.71"/>
    <n v="75"/>
    <n v="75"/>
    <s v="Completed"/>
    <n v="10.500280007466866"/>
    <n v="0.14000373343289155"/>
    <n v="0.14000373343289155"/>
    <n v="0"/>
    <n v="1"/>
    <n v="1"/>
  </r>
  <r>
    <n v="52"/>
    <x v="1"/>
    <x v="1"/>
    <s v="Others"/>
    <x v="5"/>
    <x v="6"/>
    <n v="0.43"/>
    <n v="11"/>
    <n v="10"/>
    <s v="Completed"/>
    <n v="1.5399931555859749"/>
    <n v="0.1539993155585975"/>
    <n v="0.13999937778054317"/>
    <n v="10.000000000000012"/>
    <n v="1.1000000000000001"/>
    <n v="1"/>
  </r>
  <r>
    <n v="53"/>
    <x v="3"/>
    <x v="1"/>
    <s v="Coding and Unit testing"/>
    <x v="0"/>
    <x v="13"/>
    <n v="0.71"/>
    <n v="45"/>
    <n v="45"/>
    <s v="Completed"/>
    <n v="6.3000657398164162"/>
    <n v="0.14000146088480925"/>
    <n v="0.14000146088480925"/>
    <n v="0"/>
    <n v="1"/>
    <n v="1"/>
  </r>
  <r>
    <n v="54"/>
    <x v="3"/>
    <x v="1"/>
    <s v="Coding and Unit testing"/>
    <x v="0"/>
    <x v="14"/>
    <n v="0.71"/>
    <n v="50"/>
    <n v="50"/>
    <s v="Completed"/>
    <n v="7.0000730442404624"/>
    <n v="0.14000146088480925"/>
    <n v="0.14000146088480925"/>
    <n v="0"/>
    <n v="1"/>
    <n v="1"/>
  </r>
  <r>
    <n v="55"/>
    <x v="3"/>
    <x v="1"/>
    <s v="Coding and Unit testing"/>
    <x v="0"/>
    <x v="15"/>
    <n v="0.71"/>
    <n v="45"/>
    <n v="45"/>
    <s v="Completed"/>
    <n v="6.3000657398164162"/>
    <n v="0.14000146088480925"/>
    <n v="0.14000146088480925"/>
    <n v="0"/>
    <n v="1"/>
    <n v="1"/>
  </r>
  <r>
    <n v="56"/>
    <x v="3"/>
    <x v="1"/>
    <s v="Coding and Unit testing"/>
    <x v="0"/>
    <x v="16"/>
    <n v="0.71"/>
    <n v="40"/>
    <n v="45"/>
    <s v="Completed"/>
    <n v="5.6000584353923699"/>
    <n v="0.12444574300871933"/>
    <n v="0.14000146088480925"/>
    <n v="-11.111111111111112"/>
    <n v="0.88888888888888884"/>
    <n v="1"/>
  </r>
  <r>
    <n v="57"/>
    <x v="3"/>
    <x v="1"/>
    <s v="Coding and Unit testing"/>
    <x v="0"/>
    <x v="17"/>
    <n v="0.71"/>
    <n v="60"/>
    <n v="60"/>
    <s v="Completed"/>
    <n v="8.4000876530885549"/>
    <n v="0.14000146088480925"/>
    <n v="0.14000146088480925"/>
    <n v="0"/>
    <n v="1"/>
    <n v="1"/>
  </r>
  <r>
    <n v="58"/>
    <x v="3"/>
    <x v="1"/>
    <s v="Coding and Unit testing"/>
    <x v="0"/>
    <x v="18"/>
    <n v="0.71"/>
    <n v="85"/>
    <n v="85"/>
    <s v="Completed"/>
    <n v="11.900124175208786"/>
    <n v="0.14000146088480925"/>
    <n v="0.14000146088480925"/>
    <n v="0"/>
    <n v="1"/>
    <n v="1"/>
  </r>
  <r>
    <n v="59"/>
    <x v="3"/>
    <x v="1"/>
    <s v="Coding and Unit testing"/>
    <x v="0"/>
    <x v="19"/>
    <n v="0.71"/>
    <n v="85"/>
    <n v="85"/>
    <s v="Completed"/>
    <n v="11.900124175208786"/>
    <n v="0.14000146088480925"/>
    <n v="0.14000146088480925"/>
    <n v="0"/>
    <n v="1"/>
    <n v="1"/>
  </r>
  <r>
    <n v="60"/>
    <x v="3"/>
    <x v="1"/>
    <s v="Testcase Creation"/>
    <x v="1"/>
    <x v="20"/>
    <n v="0.71"/>
    <n v="65"/>
    <n v="65"/>
    <s v="Completed"/>
    <n v="9.1005935169684999"/>
    <n v="0.14000913103028462"/>
    <n v="0.14000913103028462"/>
    <n v="0"/>
    <n v="1"/>
    <n v="1"/>
  </r>
  <r>
    <n v="61"/>
    <x v="3"/>
    <x v="1"/>
    <s v="Testcase Review"/>
    <x v="2"/>
    <x v="17"/>
    <n v="0.43"/>
    <n v="16"/>
    <n v="15"/>
    <s v="Completed"/>
    <n v="2.2398052343274499"/>
    <n v="0.14932034895516333"/>
    <n v="0.13998782714546562"/>
    <n v="6.666666666666667"/>
    <n v="1.0666666666666667"/>
    <n v="1"/>
  </r>
  <r>
    <n v="62"/>
    <x v="3"/>
    <x v="1"/>
    <s v="Testing"/>
    <x v="3"/>
    <x v="20"/>
    <n v="0.93"/>
    <n v="10"/>
    <n v="10"/>
    <s v="Completed"/>
    <n v="1.3999729473826592"/>
    <n v="0.13999729473826591"/>
    <n v="0.13999729473826591"/>
    <n v="0"/>
    <n v="1"/>
    <n v="1"/>
  </r>
  <r>
    <n v="63"/>
    <x v="3"/>
    <x v="1"/>
    <s v="Testing"/>
    <x v="3"/>
    <x v="14"/>
    <n v="0.93"/>
    <n v="40"/>
    <n v="40"/>
    <s v="Completed"/>
    <n v="5.5998917895306368"/>
    <n v="0.13999729473826591"/>
    <n v="0.13999729473826591"/>
    <n v="0"/>
    <n v="1"/>
    <n v="1"/>
  </r>
  <r>
    <n v="64"/>
    <x v="3"/>
    <x v="1"/>
    <s v="Testing"/>
    <x v="3"/>
    <x v="15"/>
    <n v="0.93"/>
    <n v="23"/>
    <n v="23"/>
    <s v="Completed"/>
    <n v="3.2199377789801158"/>
    <n v="0.13999729473826591"/>
    <n v="0.13999729473826591"/>
    <n v="0"/>
    <n v="1"/>
    <n v="1"/>
  </r>
  <r>
    <n v="65"/>
    <x v="3"/>
    <x v="1"/>
    <s v="Review and Rework"/>
    <x v="6"/>
    <x v="16"/>
    <n v="0.64"/>
    <n v="24"/>
    <n v="24"/>
    <s v="Completed"/>
    <n v="3.36038961038961"/>
    <n v="0.14001623376623376"/>
    <n v="0.14001623376623376"/>
    <n v="0"/>
    <n v="1"/>
    <n v="1"/>
  </r>
  <r>
    <n v="66"/>
    <x v="3"/>
    <x v="1"/>
    <s v="Sprint Mgmt"/>
    <x v="9"/>
    <x v="11"/>
    <n v="7.0000000000000007E-2"/>
    <n v="41"/>
    <n v="40"/>
    <s v="Completed"/>
    <n v="5.740199659118578"/>
    <n v="0.14350499147796444"/>
    <n v="0.14000486973459947"/>
    <n v="2.499999999999992"/>
    <n v="1.0249999999999999"/>
    <n v="1"/>
  </r>
  <r>
    <n v="67"/>
    <x v="3"/>
    <x v="1"/>
    <s v="Sprint Support"/>
    <x v="10"/>
    <x v="12"/>
    <n v="0.14000000000000001"/>
    <n v="40"/>
    <n v="40"/>
    <s v="Completed"/>
    <n v="5.6001947893839787"/>
    <n v="0.14000486973459947"/>
    <n v="0.14000486973459947"/>
    <n v="0"/>
    <n v="1"/>
    <n v="1"/>
  </r>
  <r>
    <n v="68"/>
    <x v="3"/>
    <x v="1"/>
    <s v="Sprint Support"/>
    <x v="10"/>
    <x v="9"/>
    <n v="0.14000000000000001"/>
    <n v="42"/>
    <n v="40"/>
    <s v="Completed"/>
    <n v="5.8802045288531781"/>
    <n v="0.14700511322132945"/>
    <n v="0.14000486973459947"/>
    <n v="5.0000000000000036"/>
    <n v="1.05"/>
    <n v="1"/>
  </r>
  <r>
    <n v="69"/>
    <x v="3"/>
    <x v="1"/>
    <s v="Review and Rework"/>
    <x v="4"/>
    <x v="13"/>
    <n v="25.71"/>
    <n v="35"/>
    <n v="35"/>
    <s v="Completed"/>
    <n v="4.9003195860599611"/>
    <n v="0.14000913103028459"/>
    <n v="0.14000913103028459"/>
    <n v="0"/>
    <n v="1"/>
    <n v="1"/>
  </r>
  <r>
    <n v="70"/>
    <x v="3"/>
    <x v="1"/>
    <s v="Review and Rework"/>
    <x v="4"/>
    <x v="15"/>
    <n v="25.71"/>
    <n v="5"/>
    <n v="5"/>
    <s v="Completed"/>
    <n v="0.70004565515142303"/>
    <n v="0.14000913103028462"/>
    <n v="0.14000913103028462"/>
    <n v="0"/>
    <n v="1"/>
    <n v="1"/>
  </r>
  <r>
    <n v="71"/>
    <x v="3"/>
    <x v="1"/>
    <s v="Others"/>
    <x v="5"/>
    <x v="16"/>
    <n v="10.07"/>
    <n v="30"/>
    <n v="25"/>
    <s v="Completed"/>
    <n v="4.2001460920379845"/>
    <n v="0.16800584368151938"/>
    <n v="0.1400048697345995"/>
    <n v="19.999999999999993"/>
    <n v="1.2"/>
    <n v="1"/>
  </r>
  <r>
    <n v="72"/>
    <x v="3"/>
    <x v="1"/>
    <s v="Others"/>
    <x v="5"/>
    <x v="17"/>
    <n v="10.07"/>
    <n v="1"/>
    <n v="1"/>
    <s v="Completed"/>
    <n v="0.14000486973459947"/>
    <n v="0.14000486973459947"/>
    <n v="0.14000486973459947"/>
    <n v="0"/>
    <n v="1"/>
    <n v="1"/>
  </r>
  <r>
    <n v="73"/>
    <x v="4"/>
    <x v="1"/>
    <s v="Develop required service to retrieve data from DA layer"/>
    <x v="11"/>
    <x v="3"/>
    <n v="2.86"/>
    <n v="90"/>
    <n v="90"/>
    <s v="Completed"/>
    <n v="12.599612319620936"/>
    <n v="0.13999569244023263"/>
    <n v="0.13999569244023263"/>
    <n v="0"/>
    <n v="1"/>
    <n v="1"/>
  </r>
  <r>
    <n v="74"/>
    <x v="4"/>
    <x v="1"/>
    <s v="File Upload UI"/>
    <x v="12"/>
    <x v="3"/>
    <n v="0.71"/>
    <n v="85"/>
    <n v="85"/>
    <s v="Completed"/>
    <n v="11.900595029751489"/>
    <n v="0.14000700035001751"/>
    <n v="0.14000700035001751"/>
    <n v="0"/>
    <n v="1"/>
    <n v="1"/>
  </r>
  <r>
    <n v="75"/>
    <x v="4"/>
    <x v="1"/>
    <s v="UI to search specific node - first level search"/>
    <x v="13"/>
    <x v="21"/>
    <n v="0.56999999999999995"/>
    <n v="78"/>
    <n v="75"/>
    <s v="Completed"/>
    <n v="10.92019854906453"/>
    <n v="0.1456026473208604"/>
    <n v="0.1400025455008273"/>
    <n v="4.0000000000000009"/>
    <n v="1.04"/>
    <n v="1"/>
  </r>
  <r>
    <n v="76"/>
    <x v="4"/>
    <x v="1"/>
    <s v="UI grid to display node search result"/>
    <x v="14"/>
    <x v="22"/>
    <n v="0.28999999999999998"/>
    <n v="64"/>
    <n v="64"/>
    <s v="Completed"/>
    <n v="8.9594027064862338"/>
    <n v="0.1399906672888474"/>
    <n v="0.1399906672888474"/>
    <n v="0"/>
    <n v="1"/>
    <n v="1"/>
  </r>
  <r>
    <n v="77"/>
    <x v="4"/>
    <x v="1"/>
    <s v="UI Grid for presenting the response data"/>
    <x v="15"/>
    <x v="23"/>
    <n v="0.86"/>
    <n v="92"/>
    <n v="90"/>
    <s v="Completed"/>
    <n v="12.879603704501402"/>
    <n v="0.14310670782779336"/>
    <n v="0.13999569244023263"/>
    <n v="2.2222222222222245"/>
    <n v="1.0222222222222221"/>
    <n v="1"/>
  </r>
  <r>
    <n v="78"/>
    <x v="4"/>
    <x v="1"/>
    <s v="UI Changes for multi select"/>
    <x v="16"/>
    <x v="24"/>
    <n v="0.71"/>
    <n v="85"/>
    <n v="85"/>
    <s v="Completed"/>
    <n v="11.900595029751489"/>
    <n v="0.14000700035001751"/>
    <n v="0.14000700035001751"/>
    <n v="0"/>
    <n v="1"/>
    <n v="1"/>
  </r>
  <r>
    <n v="79"/>
    <x v="4"/>
    <x v="1"/>
    <s v="UI to plot sankey"/>
    <x v="17"/>
    <x v="25"/>
    <n v="0.43"/>
    <n v="71"/>
    <n v="70"/>
    <s v="Completed"/>
    <n v="9.9398012039759198"/>
    <n v="0.14199716005679885"/>
    <n v="0.13999720005599886"/>
    <n v="1.4285714285714359"/>
    <n v="1.0142857142857145"/>
    <n v="1"/>
  </r>
  <r>
    <n v="80"/>
    <x v="4"/>
    <x v="1"/>
    <s v="Zoom in / out for sankey "/>
    <x v="18"/>
    <x v="26"/>
    <n v="0.43"/>
    <n v="71"/>
    <n v="70"/>
    <s v="Completed"/>
    <n v="9.9398012039759198"/>
    <n v="0.14199716005679885"/>
    <n v="0.13999720005599886"/>
    <n v="1.4285714285714359"/>
    <n v="1.0142857142857145"/>
    <n v="1"/>
  </r>
  <r>
    <n v="81"/>
    <x v="4"/>
    <x v="1"/>
    <s v="Traceability for multi select"/>
    <x v="19"/>
    <x v="27"/>
    <n v="0.71"/>
    <n v="85"/>
    <n v="85"/>
    <s v="Completed"/>
    <n v="11.900595029751489"/>
    <n v="0.14000700035001751"/>
    <n v="0.14000700035001751"/>
    <n v="0"/>
    <n v="1"/>
    <n v="1"/>
  </r>
  <r>
    <n v="82"/>
    <x v="4"/>
    <x v="1"/>
    <s v="UI changes to Hide nodes in between existing sankey for proper view"/>
    <x v="20"/>
    <x v="28"/>
    <n v="0.86"/>
    <n v="92"/>
    <n v="90"/>
    <s v="Completed"/>
    <n v="12.879603704501402"/>
    <n v="0.14310670782779336"/>
    <n v="0.13999569244023263"/>
    <n v="2.2222222222222245"/>
    <n v="1.0222222222222221"/>
    <n v="1"/>
  </r>
  <r>
    <n v="83"/>
    <x v="4"/>
    <x v="1"/>
    <s v="Swapping TIRL and TC"/>
    <x v="21"/>
    <x v="29"/>
    <n v="0.86"/>
    <n v="92"/>
    <n v="90"/>
    <s v="Completed"/>
    <n v="12.879603704501402"/>
    <n v="0.14310670782779336"/>
    <n v="0.13999569244023263"/>
    <n v="2.2222222222222245"/>
    <n v="1.0222222222222221"/>
    <n v="1"/>
  </r>
  <r>
    <n v="84"/>
    <x v="4"/>
    <x v="1"/>
    <s v="UI changes for finding concurrent and compatiple TR's"/>
    <x v="22"/>
    <x v="29"/>
    <n v="0.28999999999999998"/>
    <n v="64"/>
    <n v="60"/>
    <s v="Completed"/>
    <n v="8.9594027064862338"/>
    <n v="0.14932337844143723"/>
    <n v="0.1399906672888474"/>
    <n v="6.6666666666666634"/>
    <n v="1.0666666666666667"/>
    <n v="1"/>
  </r>
  <r>
    <n v="85"/>
    <x v="4"/>
    <x v="1"/>
    <s v="UI To display parent child relation"/>
    <x v="23"/>
    <x v="25"/>
    <n v="0.56999999999999995"/>
    <n v="78"/>
    <n v="75"/>
    <s v="Completed"/>
    <n v="10.92019854906453"/>
    <n v="0.1456026473208604"/>
    <n v="0.1400025455008273"/>
    <n v="4.0000000000000009"/>
    <n v="1.04"/>
    <n v="1"/>
  </r>
  <r>
    <n v="86"/>
    <x v="4"/>
    <x v="1"/>
    <s v="Identify the changes required to convert FTCS TIRL interface from SQOOP based interface to file based interface"/>
    <x v="24"/>
    <x v="26"/>
    <n v="0.71"/>
    <n v="85"/>
    <n v="85"/>
    <s v="Completed"/>
    <n v="11.900595029751489"/>
    <n v="0.14000700035001751"/>
    <n v="0.14000700035001751"/>
    <n v="0"/>
    <n v="1"/>
    <n v="1"/>
  </r>
  <r>
    <n v="87"/>
    <x v="4"/>
    <x v="1"/>
    <s v="FTCS TIRL conversion from SQOOP based interface to File based interface"/>
    <x v="25"/>
    <x v="27"/>
    <n v="0.28999999999999998"/>
    <n v="64"/>
    <n v="64"/>
    <s v="Completed"/>
    <n v="8.9594027064862338"/>
    <n v="0.1399906672888474"/>
    <n v="0.1399906672888474"/>
    <n v="0"/>
    <n v="1"/>
    <n v="1"/>
  </r>
  <r>
    <n v="88"/>
    <x v="4"/>
    <x v="1"/>
    <s v="Convert Excel file to CSV(Should support both xls format and xlsx format)"/>
    <x v="26"/>
    <x v="21"/>
    <n v="0.86"/>
    <n v="92"/>
    <n v="90"/>
    <s v="Completed"/>
    <n v="12.879603704501402"/>
    <n v="0.14310670782779336"/>
    <n v="0.13999569244023263"/>
    <n v="2.2222222222222245"/>
    <n v="1.0222222222222221"/>
    <n v="1"/>
  </r>
  <r>
    <n v="89"/>
    <x v="4"/>
    <x v="1"/>
    <s v="Execute test cases for AETP WSRD,AETP OPT"/>
    <x v="27"/>
    <x v="22"/>
    <n v="0.86"/>
    <n v="92"/>
    <n v="92"/>
    <s v="Completed"/>
    <n v="12.879603704501402"/>
    <n v="0.13999569244023263"/>
    <n v="0.13999569244023263"/>
    <n v="0"/>
    <n v="1"/>
    <n v="1"/>
  </r>
  <r>
    <n v="90"/>
    <x v="4"/>
    <x v="1"/>
    <s v="Execute test cases for FTCS FTP, FTCS TIRL"/>
    <x v="28"/>
    <x v="23"/>
    <n v="0.71"/>
    <n v="85"/>
    <n v="85"/>
    <s v="Completed"/>
    <n v="11.900595029751489"/>
    <n v="0.14000700035001751"/>
    <n v="0.14000700035001751"/>
    <n v="0"/>
    <n v="1"/>
    <n v="1"/>
  </r>
  <r>
    <n v="91"/>
    <x v="4"/>
    <x v="1"/>
    <s v="Execute test cases for TPERT TCM, DOORS"/>
    <x v="29"/>
    <x v="24"/>
    <n v="0.56999999999999995"/>
    <n v="78"/>
    <n v="75"/>
    <s v="Completed"/>
    <n v="10.92019854906453"/>
    <n v="0.1456026473208604"/>
    <n v="0.1400025455008273"/>
    <n v="4.0000000000000009"/>
    <n v="1.04"/>
    <n v="1"/>
  </r>
  <r>
    <n v="92"/>
    <x v="4"/>
    <x v="1"/>
    <s v="Execute test cases for Neo4J module"/>
    <x v="30"/>
    <x v="30"/>
    <n v="0.43"/>
    <n v="71"/>
    <n v="70"/>
    <s v="Completed"/>
    <n v="9.9398012039759198"/>
    <n v="0.14199716005679885"/>
    <n v="0.13999720005599886"/>
    <n v="1.4285714285714359"/>
    <n v="1.0142857142857145"/>
    <n v="1"/>
  </r>
  <r>
    <n v="93"/>
    <x v="4"/>
    <x v="1"/>
    <s v="Prepare and execute testcases for AETP WSRD interface"/>
    <x v="31"/>
    <x v="27"/>
    <n v="0.56999999999999995"/>
    <n v="28"/>
    <n v="25"/>
    <s v="Completed"/>
    <n v="3.9201960098004895"/>
    <n v="0.15680784039201959"/>
    <n v="0.14000700035001748"/>
    <n v="12.000000000000007"/>
    <n v="1.1200000000000001"/>
    <n v="1"/>
  </r>
  <r>
    <n v="94"/>
    <x v="4"/>
    <x v="1"/>
    <s v="Prepare and execute testcases for DOORS interface"/>
    <x v="32"/>
    <x v="26"/>
    <n v="0.43"/>
    <n v="21"/>
    <n v="20"/>
    <s v="Completed"/>
    <n v="2.9398040130657956"/>
    <n v="0.14699020065328977"/>
    <n v="0.1399906672888474"/>
    <n v="4.9999999999999982"/>
    <n v="1.05"/>
    <n v="1"/>
  </r>
  <r>
    <n v="95"/>
    <x v="4"/>
    <x v="1"/>
    <s v="Prepare and execute testcases for AETP OPT interface"/>
    <x v="33"/>
    <x v="28"/>
    <n v="0.71"/>
    <n v="85"/>
    <n v="85"/>
    <s v="Completed"/>
    <n v="11.900595029751489"/>
    <n v="0.14000700035001751"/>
    <n v="0.14000700035001751"/>
    <n v="0"/>
    <n v="1"/>
    <n v="1"/>
  </r>
  <r>
    <n v="96"/>
    <x v="4"/>
    <x v="1"/>
    <s v="Prepare and execute testcases for FTCS FTP interface"/>
    <x v="34"/>
    <x v="30"/>
    <n v="0.86"/>
    <n v="92"/>
    <n v="90"/>
    <s v="Completed"/>
    <n v="12.879603704501402"/>
    <n v="0.14310670782779336"/>
    <n v="0.13999569244023263"/>
    <n v="2.2222222222222245"/>
    <n v="1.0222222222222221"/>
    <n v="1"/>
  </r>
  <r>
    <n v="97"/>
    <x v="4"/>
    <x v="1"/>
    <s v="Sprint Mgmt"/>
    <x v="9"/>
    <x v="11"/>
    <n v="0.71"/>
    <n v="35"/>
    <n v="32"/>
    <s v="Completed"/>
    <n v="4.9005880705684675"/>
    <n v="0.15314337720526461"/>
    <n v="0.14001680201624192"/>
    <n v="9.3750000000000053"/>
    <n v="1.09375"/>
    <n v="1"/>
  </r>
  <r>
    <n v="98"/>
    <x v="4"/>
    <x v="1"/>
    <s v="Sprint Support"/>
    <x v="10"/>
    <x v="9"/>
    <n v="0.71"/>
    <n v="35"/>
    <n v="32"/>
    <s v="Completed"/>
    <n v="4.9005880705684675"/>
    <n v="0.15314337720526461"/>
    <n v="0.14001680201624192"/>
    <n v="9.3750000000000053"/>
    <n v="1.09375"/>
    <n v="1"/>
  </r>
  <r>
    <n v="99"/>
    <x v="4"/>
    <x v="1"/>
    <s v="Others"/>
    <x v="5"/>
    <x v="12"/>
    <n v="0.71"/>
    <n v="10"/>
    <n v="10"/>
    <s v="Completed"/>
    <n v="1.4001680201624194"/>
    <n v="0.14001680201624195"/>
    <n v="0.14001680201624195"/>
    <n v="0"/>
    <n v="1"/>
    <n v="1"/>
  </r>
  <r>
    <n v="100"/>
    <x v="4"/>
    <x v="1"/>
    <s v="Others"/>
    <x v="5"/>
    <x v="25"/>
    <n v="0.71"/>
    <n v="25"/>
    <n v="25"/>
    <s v="Completed"/>
    <n v="3.5004200504060479"/>
    <n v="0.14001680201624192"/>
    <n v="0.14001680201624192"/>
    <n v="0"/>
    <n v="1"/>
    <n v="1"/>
  </r>
  <r>
    <n v="101"/>
    <x v="5"/>
    <x v="1"/>
    <s v="Coding and Unit testing"/>
    <x v="0"/>
    <x v="13"/>
    <n v="0.14000000000000001"/>
    <n v="45"/>
    <n v="45"/>
    <s v="Completed"/>
    <n v="6.3000393752460955"/>
    <n v="0.14000087500546879"/>
    <n v="0.14000087500546879"/>
    <n v="0"/>
    <n v="1"/>
    <n v="1"/>
  </r>
  <r>
    <n v="102"/>
    <x v="5"/>
    <x v="1"/>
    <s v="Coding and Unit testing"/>
    <x v="0"/>
    <x v="13"/>
    <n v="0.14000000000000001"/>
    <n v="50"/>
    <n v="50"/>
    <s v="Completed"/>
    <n v="7.0000437502734396"/>
    <n v="0.14000087500546879"/>
    <n v="0.14000087500546879"/>
    <n v="0"/>
    <n v="1"/>
    <n v="1"/>
  </r>
  <r>
    <n v="103"/>
    <x v="5"/>
    <x v="1"/>
    <s v="Coding and Unit testing"/>
    <x v="0"/>
    <x v="14"/>
    <n v="0.14000000000000001"/>
    <n v="45"/>
    <n v="45"/>
    <s v="Completed"/>
    <n v="6.3000393752460955"/>
    <n v="0.14000087500546879"/>
    <n v="0.14000087500546879"/>
    <n v="0"/>
    <n v="1"/>
    <n v="1"/>
  </r>
  <r>
    <n v="104"/>
    <x v="5"/>
    <x v="1"/>
    <s v="Coding and Unit testing"/>
    <x v="0"/>
    <x v="15"/>
    <n v="0.14000000000000001"/>
    <n v="45"/>
    <n v="45"/>
    <s v="Completed"/>
    <n v="6.3000393752460955"/>
    <n v="0.14000087500546879"/>
    <n v="0.14000087500546879"/>
    <n v="0"/>
    <n v="1"/>
    <n v="1"/>
  </r>
  <r>
    <n v="105"/>
    <x v="5"/>
    <x v="1"/>
    <s v="Coding and Unit testing"/>
    <x v="0"/>
    <x v="16"/>
    <n v="0.14000000000000001"/>
    <n v="60"/>
    <n v="60"/>
    <s v="Completed"/>
    <n v="8.4000525003281279"/>
    <n v="0.14000087500546879"/>
    <n v="0.14000087500546879"/>
    <n v="0"/>
    <n v="1"/>
    <n v="1"/>
  </r>
  <r>
    <n v="106"/>
    <x v="5"/>
    <x v="1"/>
    <s v="Coding and Unit testing"/>
    <x v="0"/>
    <x v="17"/>
    <n v="0.14000000000000001"/>
    <n v="75"/>
    <n v="75"/>
    <s v="Completed"/>
    <n v="10.500065625410159"/>
    <n v="0.14000087500546879"/>
    <n v="0.14000087500546879"/>
    <n v="0"/>
    <n v="1"/>
    <n v="1"/>
  </r>
  <r>
    <n v="107"/>
    <x v="5"/>
    <x v="1"/>
    <s v="Coding and Unit testing"/>
    <x v="0"/>
    <x v="18"/>
    <n v="0.14000000000000001"/>
    <n v="85"/>
    <n v="85"/>
    <s v="Completed"/>
    <n v="11.900074375464847"/>
    <n v="0.14000087500546879"/>
    <n v="0.14000087500546879"/>
    <n v="0"/>
    <n v="1"/>
    <n v="1"/>
  </r>
  <r>
    <n v="108"/>
    <x v="5"/>
    <x v="1"/>
    <s v="Coding and Unit testing"/>
    <x v="0"/>
    <x v="19"/>
    <n v="0.14000000000000001"/>
    <n v="52"/>
    <n v="52"/>
    <s v="Completed"/>
    <n v="7.2800455002843769"/>
    <n v="0.14000087500546879"/>
    <n v="0.14000087500546879"/>
    <n v="0"/>
    <n v="1"/>
    <n v="1"/>
  </r>
  <r>
    <n v="109"/>
    <x v="5"/>
    <x v="1"/>
    <s v="Testcase Creation"/>
    <x v="1"/>
    <x v="20"/>
    <n v="0.14000000000000001"/>
    <n v="73"/>
    <n v="70"/>
    <s v="Completed"/>
    <n v="10.220399234345093"/>
    <n v="0.14600570334778704"/>
    <n v="0.14000546896363142"/>
    <n v="4.2857142857142749"/>
    <n v="1.0428571428571427"/>
    <n v="1"/>
  </r>
  <r>
    <n v="110"/>
    <x v="5"/>
    <x v="1"/>
    <s v="Testcase Review"/>
    <x v="2"/>
    <x v="17"/>
    <n v="0.28999999999999998"/>
    <n v="18"/>
    <n v="15"/>
    <s v="Completed"/>
    <n v="2.5194095133952983"/>
    <n v="0.16796063422635321"/>
    <n v="0.13996719518862769"/>
    <n v="19.999999999999993"/>
    <n v="1.2"/>
    <n v="1"/>
  </r>
  <r>
    <n v="111"/>
    <x v="5"/>
    <x v="1"/>
    <s v="Testing"/>
    <x v="3"/>
    <x v="19"/>
    <n v="0.28999999999999998"/>
    <n v="36"/>
    <n v="36"/>
    <s v="Completed"/>
    <n v="5.0397375136711622"/>
    <n v="0.13999270871308783"/>
    <n v="0.13999270871308783"/>
    <n v="0"/>
    <n v="1"/>
    <n v="1"/>
  </r>
  <r>
    <n v="112"/>
    <x v="5"/>
    <x v="1"/>
    <s v="Testing"/>
    <x v="3"/>
    <x v="14"/>
    <n v="0.28999999999999998"/>
    <n v="45"/>
    <n v="45"/>
    <s v="Completed"/>
    <n v="6.2996718920889538"/>
    <n v="0.13999270871308786"/>
    <n v="0.13999270871308786"/>
    <n v="0"/>
    <n v="1"/>
    <n v="1"/>
  </r>
  <r>
    <n v="113"/>
    <x v="5"/>
    <x v="1"/>
    <s v="Testing"/>
    <x v="3"/>
    <x v="15"/>
    <n v="0.28999999999999998"/>
    <n v="1"/>
    <n v="1"/>
    <s v="Completed"/>
    <n v="0.13999270871308783"/>
    <n v="0.13999270871308783"/>
    <n v="0.13999270871308783"/>
    <n v="0"/>
    <n v="1"/>
    <n v="1"/>
  </r>
  <r>
    <n v="114"/>
    <x v="5"/>
    <x v="1"/>
    <s v="Review and Rework"/>
    <x v="6"/>
    <x v="16"/>
    <n v="0.43"/>
    <n v="27"/>
    <n v="25"/>
    <s v="Completed"/>
    <n v="3.7798031352533719"/>
    <n v="0.15119212541013488"/>
    <n v="0.13999270871308786"/>
    <n v="7.9999999999999947"/>
    <n v="1.0799999999999998"/>
    <n v="1"/>
  </r>
  <r>
    <n v="115"/>
    <x v="5"/>
    <x v="1"/>
    <s v="Sprint Mgmt"/>
    <x v="9"/>
    <x v="11"/>
    <n v="1.71"/>
    <n v="44"/>
    <n v="40"/>
    <s v="Completed"/>
    <n v="6.1605775541457026"/>
    <n v="0.15401443885364258"/>
    <n v="0.14001312623058415"/>
    <n v="10.000000000000007"/>
    <n v="1.1000000000000001"/>
    <n v="1"/>
  </r>
  <r>
    <n v="116"/>
    <x v="5"/>
    <x v="1"/>
    <s v="Sprint Support"/>
    <x v="10"/>
    <x v="12"/>
    <n v="9.43"/>
    <n v="44"/>
    <n v="40"/>
    <s v="Completed"/>
    <n v="6.1599037515038821"/>
    <n v="0.15399759378759706"/>
    <n v="0.13999781253417914"/>
    <n v="10"/>
    <n v="1.1000000000000001"/>
    <n v="1"/>
  </r>
  <r>
    <n v="117"/>
    <x v="5"/>
    <x v="1"/>
    <s v="Sprint Support"/>
    <x v="10"/>
    <x v="9"/>
    <n v="9.43"/>
    <n v="38"/>
    <n v="38"/>
    <s v="Completed"/>
    <n v="5.3199168762988069"/>
    <n v="0.13999781253417912"/>
    <n v="0.13999781253417912"/>
    <n v="0"/>
    <n v="1"/>
    <n v="1"/>
  </r>
  <r>
    <n v="118"/>
    <x v="5"/>
    <x v="1"/>
    <s v="Review and Rework"/>
    <x v="4"/>
    <x v="15"/>
    <n v="0.14000000000000001"/>
    <n v="45"/>
    <n v="45"/>
    <s v="Completed"/>
    <n v="6.3002461033634134"/>
    <n v="0.14000546896363142"/>
    <n v="0.14000546896363142"/>
    <n v="0"/>
    <n v="1"/>
    <n v="1"/>
  </r>
  <r>
    <n v="119"/>
    <x v="5"/>
    <x v="1"/>
    <s v="Review and Rework"/>
    <x v="4"/>
    <x v="15"/>
    <n v="0.14000000000000001"/>
    <n v="15"/>
    <n v="15"/>
    <s v="Completed"/>
    <n v="2.1000820344544713"/>
    <n v="0.14000546896363142"/>
    <n v="0.14000546896363142"/>
    <n v="0"/>
    <n v="1"/>
    <n v="1"/>
  </r>
  <r>
    <n v="120"/>
    <x v="5"/>
    <x v="1"/>
    <s v="Others"/>
    <x v="5"/>
    <x v="17"/>
    <n v="5.71"/>
    <n v="10"/>
    <n v="10"/>
    <s v="Completed"/>
    <n v="1.4001312623058411"/>
    <n v="0.1400131262305841"/>
    <n v="0.1400131262305841"/>
    <n v="0"/>
    <n v="1"/>
    <n v="1"/>
  </r>
  <r>
    <n v="121"/>
    <x v="5"/>
    <x v="1"/>
    <s v="Others"/>
    <x v="5"/>
    <x v="20"/>
    <n v="5.71"/>
    <n v="30"/>
    <n v="30"/>
    <s v="Completed"/>
    <n v="4.2003937869175232"/>
    <n v="0.1400131262305841"/>
    <n v="0.1400131262305841"/>
    <n v="0"/>
    <n v="1"/>
    <n v="1"/>
  </r>
  <r>
    <m/>
    <x v="5"/>
    <x v="1"/>
    <s v="Review and Rework"/>
    <x v="4"/>
    <x v="19"/>
    <n v="0.14000000000000001"/>
    <n v="13"/>
    <n v="10"/>
    <s v="Completed"/>
    <n v="1.8200710965272084"/>
    <n v="0.18200710965272085"/>
    <n v="0.14000546896363142"/>
    <n v="30.000000000000004"/>
    <n v="1.3"/>
    <n v="1"/>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m/>
    <x v="2"/>
    <x v="2"/>
    <m/>
    <x v="8"/>
    <x v="10"/>
    <s v=""/>
    <m/>
    <m/>
    <m/>
    <s v=""/>
    <s v=""/>
    <s v=""/>
    <s v=""/>
    <s v=""/>
    <s v=""/>
  </r>
  <r>
    <n v="35"/>
    <x v="5"/>
    <x v="1"/>
    <s v="Sprint Support"/>
    <x v="10"/>
    <x v="29"/>
    <m/>
    <n v="9"/>
    <n v="9"/>
    <m/>
    <m/>
    <m/>
    <m/>
    <m/>
    <m/>
    <m/>
  </r>
  <r>
    <n v="36"/>
    <x v="2"/>
    <x v="2"/>
    <m/>
    <x v="8"/>
    <x v="10"/>
    <m/>
    <m/>
    <m/>
    <m/>
    <m/>
    <m/>
    <m/>
    <m/>
    <m/>
    <m/>
  </r>
  <r>
    <n v="37"/>
    <x v="2"/>
    <x v="2"/>
    <m/>
    <x v="8"/>
    <x v="10"/>
    <m/>
    <m/>
    <m/>
    <m/>
    <m/>
    <m/>
    <m/>
    <m/>
    <m/>
    <m/>
  </r>
  <r>
    <n v="38"/>
    <x v="2"/>
    <x v="2"/>
    <m/>
    <x v="8"/>
    <x v="10"/>
    <m/>
    <m/>
    <m/>
    <m/>
    <m/>
    <m/>
    <m/>
    <m/>
    <m/>
    <m/>
  </r>
  <r>
    <n v="39"/>
    <x v="2"/>
    <x v="2"/>
    <m/>
    <x v="8"/>
    <x v="10"/>
    <m/>
    <m/>
    <m/>
    <m/>
    <m/>
    <m/>
    <m/>
    <m/>
    <m/>
    <m/>
  </r>
  <r>
    <n v="40"/>
    <x v="2"/>
    <x v="2"/>
    <m/>
    <x v="8"/>
    <x v="10"/>
    <m/>
    <m/>
    <m/>
    <m/>
    <m/>
    <m/>
    <m/>
    <m/>
    <m/>
    <m/>
  </r>
  <r>
    <n v="41"/>
    <x v="2"/>
    <x v="2"/>
    <m/>
    <x v="8"/>
    <x v="10"/>
    <m/>
    <m/>
    <m/>
    <m/>
    <m/>
    <m/>
    <m/>
    <m/>
    <m/>
    <m/>
  </r>
  <r>
    <n v="42"/>
    <x v="2"/>
    <x v="2"/>
    <m/>
    <x v="8"/>
    <x v="10"/>
    <m/>
    <m/>
    <m/>
    <m/>
    <m/>
    <m/>
    <m/>
    <m/>
    <m/>
    <m/>
  </r>
  <r>
    <n v="43"/>
    <x v="2"/>
    <x v="2"/>
    <m/>
    <x v="8"/>
    <x v="10"/>
    <m/>
    <m/>
    <m/>
    <m/>
    <m/>
    <m/>
    <m/>
    <m/>
    <m/>
    <m/>
  </r>
  <r>
    <n v="44"/>
    <x v="2"/>
    <x v="2"/>
    <m/>
    <x v="8"/>
    <x v="10"/>
    <m/>
    <m/>
    <m/>
    <m/>
    <m/>
    <m/>
    <m/>
    <m/>
    <m/>
    <m/>
  </r>
  <r>
    <n v="45"/>
    <x v="2"/>
    <x v="2"/>
    <m/>
    <x v="8"/>
    <x v="10"/>
    <m/>
    <m/>
    <m/>
    <m/>
    <m/>
    <m/>
    <m/>
    <m/>
    <m/>
    <m/>
  </r>
  <r>
    <n v="47"/>
    <x v="2"/>
    <x v="2"/>
    <m/>
    <x v="8"/>
    <x v="10"/>
    <m/>
    <m/>
    <m/>
    <m/>
    <m/>
    <m/>
    <m/>
    <m/>
    <m/>
    <m/>
  </r>
  <r>
    <n v="48"/>
    <x v="2"/>
    <x v="2"/>
    <m/>
    <x v="8"/>
    <x v="10"/>
    <m/>
    <m/>
    <m/>
    <m/>
    <m/>
    <m/>
    <m/>
    <m/>
    <m/>
    <m/>
  </r>
  <r>
    <n v="49"/>
    <x v="2"/>
    <x v="2"/>
    <m/>
    <x v="8"/>
    <x v="10"/>
    <m/>
    <m/>
    <m/>
    <m/>
    <m/>
    <m/>
    <m/>
    <m/>
    <m/>
    <m/>
  </r>
  <r>
    <n v="50"/>
    <x v="2"/>
    <x v="2"/>
    <m/>
    <x v="8"/>
    <x v="10"/>
    <m/>
    <m/>
    <m/>
    <m/>
    <m/>
    <m/>
    <m/>
    <m/>
    <m/>
    <m/>
  </r>
  <r>
    <n v="51"/>
    <x v="2"/>
    <x v="2"/>
    <m/>
    <x v="8"/>
    <x v="10"/>
    <m/>
    <m/>
    <m/>
    <m/>
    <m/>
    <m/>
    <m/>
    <m/>
    <m/>
    <m/>
  </r>
  <r>
    <n v="52"/>
    <x v="2"/>
    <x v="2"/>
    <m/>
    <x v="8"/>
    <x v="10"/>
    <m/>
    <m/>
    <m/>
    <m/>
    <m/>
    <m/>
    <m/>
    <m/>
    <m/>
    <m/>
  </r>
  <r>
    <n v="53"/>
    <x v="2"/>
    <x v="2"/>
    <m/>
    <x v="8"/>
    <x v="10"/>
    <m/>
    <m/>
    <m/>
    <m/>
    <m/>
    <m/>
    <m/>
    <m/>
    <m/>
    <m/>
  </r>
  <r>
    <n v="54"/>
    <x v="2"/>
    <x v="2"/>
    <m/>
    <x v="8"/>
    <x v="10"/>
    <m/>
    <m/>
    <m/>
    <m/>
    <m/>
    <m/>
    <m/>
    <m/>
    <m/>
    <m/>
  </r>
  <r>
    <n v="55"/>
    <x v="2"/>
    <x v="2"/>
    <m/>
    <x v="8"/>
    <x v="10"/>
    <m/>
    <m/>
    <m/>
    <m/>
    <m/>
    <m/>
    <m/>
    <m/>
    <m/>
    <m/>
  </r>
  <r>
    <n v="56"/>
    <x v="2"/>
    <x v="2"/>
    <m/>
    <x v="8"/>
    <x v="10"/>
    <m/>
    <m/>
    <m/>
    <m/>
    <m/>
    <m/>
    <m/>
    <m/>
    <m/>
    <m/>
  </r>
  <r>
    <n v="57"/>
    <x v="2"/>
    <x v="2"/>
    <m/>
    <x v="8"/>
    <x v="10"/>
    <m/>
    <m/>
    <m/>
    <m/>
    <m/>
    <m/>
    <m/>
    <m/>
    <m/>
    <m/>
  </r>
  <r>
    <n v="58"/>
    <x v="2"/>
    <x v="2"/>
    <m/>
    <x v="8"/>
    <x v="10"/>
    <m/>
    <m/>
    <m/>
    <m/>
    <m/>
    <m/>
    <m/>
    <m/>
    <m/>
    <m/>
  </r>
  <r>
    <n v="59"/>
    <x v="2"/>
    <x v="2"/>
    <m/>
    <x v="8"/>
    <x v="10"/>
    <m/>
    <m/>
    <m/>
    <m/>
    <m/>
    <m/>
    <m/>
    <m/>
    <m/>
    <m/>
  </r>
  <r>
    <n v="60"/>
    <x v="2"/>
    <x v="2"/>
    <m/>
    <x v="8"/>
    <x v="10"/>
    <m/>
    <m/>
    <m/>
    <m/>
    <m/>
    <m/>
    <m/>
    <m/>
    <m/>
    <m/>
  </r>
  <r>
    <n v="61"/>
    <x v="2"/>
    <x v="2"/>
    <m/>
    <x v="8"/>
    <x v="10"/>
    <m/>
    <m/>
    <m/>
    <m/>
    <m/>
    <m/>
    <m/>
    <m/>
    <m/>
    <m/>
  </r>
  <r>
    <n v="62"/>
    <x v="2"/>
    <x v="2"/>
    <m/>
    <x v="8"/>
    <x v="10"/>
    <m/>
    <m/>
    <m/>
    <m/>
    <m/>
    <m/>
    <m/>
    <m/>
    <m/>
    <m/>
  </r>
  <r>
    <n v="63"/>
    <x v="2"/>
    <x v="2"/>
    <m/>
    <x v="8"/>
    <x v="10"/>
    <m/>
    <m/>
    <m/>
    <m/>
    <m/>
    <m/>
    <m/>
    <m/>
    <m/>
    <m/>
  </r>
  <r>
    <n v="64"/>
    <x v="2"/>
    <x v="2"/>
    <m/>
    <x v="8"/>
    <x v="10"/>
    <m/>
    <m/>
    <m/>
    <m/>
    <m/>
    <m/>
    <m/>
    <m/>
    <m/>
    <m/>
  </r>
  <r>
    <n v="65"/>
    <x v="2"/>
    <x v="2"/>
    <m/>
    <x v="8"/>
    <x v="10"/>
    <m/>
    <m/>
    <m/>
    <m/>
    <m/>
    <m/>
    <m/>
    <m/>
    <m/>
    <m/>
  </r>
  <r>
    <n v="66"/>
    <x v="2"/>
    <x v="2"/>
    <m/>
    <x v="8"/>
    <x v="10"/>
    <m/>
    <m/>
    <m/>
    <m/>
    <m/>
    <m/>
    <m/>
    <m/>
    <m/>
    <m/>
  </r>
  <r>
    <n v="67"/>
    <x v="2"/>
    <x v="2"/>
    <m/>
    <x v="8"/>
    <x v="10"/>
    <m/>
    <m/>
    <m/>
    <m/>
    <m/>
    <m/>
    <m/>
    <m/>
    <m/>
    <m/>
  </r>
  <r>
    <n v="68"/>
    <x v="2"/>
    <x v="2"/>
    <m/>
    <x v="8"/>
    <x v="10"/>
    <m/>
    <m/>
    <m/>
    <m/>
    <m/>
    <m/>
    <m/>
    <m/>
    <m/>
    <m/>
  </r>
  <r>
    <n v="69"/>
    <x v="2"/>
    <x v="2"/>
    <m/>
    <x v="8"/>
    <x v="10"/>
    <m/>
    <m/>
    <m/>
    <m/>
    <m/>
    <m/>
    <m/>
    <m/>
    <m/>
    <m/>
  </r>
  <r>
    <n v="70"/>
    <x v="2"/>
    <x v="2"/>
    <m/>
    <x v="8"/>
    <x v="10"/>
    <m/>
    <m/>
    <m/>
    <m/>
    <m/>
    <m/>
    <m/>
    <m/>
    <m/>
    <m/>
  </r>
  <r>
    <n v="71"/>
    <x v="2"/>
    <x v="2"/>
    <m/>
    <x v="8"/>
    <x v="10"/>
    <m/>
    <m/>
    <m/>
    <m/>
    <m/>
    <m/>
    <m/>
    <m/>
    <m/>
    <m/>
  </r>
  <r>
    <n v="72"/>
    <x v="2"/>
    <x v="2"/>
    <m/>
    <x v="8"/>
    <x v="10"/>
    <m/>
    <m/>
    <m/>
    <m/>
    <m/>
    <m/>
    <m/>
    <m/>
    <m/>
    <m/>
  </r>
  <r>
    <n v="73"/>
    <x v="2"/>
    <x v="2"/>
    <m/>
    <x v="8"/>
    <x v="10"/>
    <m/>
    <m/>
    <m/>
    <m/>
    <m/>
    <m/>
    <m/>
    <m/>
    <m/>
    <m/>
  </r>
  <r>
    <n v="74"/>
    <x v="2"/>
    <x v="2"/>
    <m/>
    <x v="8"/>
    <x v="10"/>
    <m/>
    <m/>
    <m/>
    <m/>
    <m/>
    <m/>
    <m/>
    <m/>
    <m/>
    <m/>
  </r>
  <r>
    <n v="75"/>
    <x v="2"/>
    <x v="2"/>
    <m/>
    <x v="8"/>
    <x v="10"/>
    <m/>
    <m/>
    <m/>
    <m/>
    <m/>
    <m/>
    <m/>
    <m/>
    <m/>
    <m/>
  </r>
  <r>
    <n v="76"/>
    <x v="2"/>
    <x v="2"/>
    <m/>
    <x v="8"/>
    <x v="10"/>
    <m/>
    <m/>
    <m/>
    <m/>
    <m/>
    <m/>
    <m/>
    <m/>
    <m/>
    <m/>
  </r>
  <r>
    <n v="77"/>
    <x v="2"/>
    <x v="2"/>
    <m/>
    <x v="8"/>
    <x v="10"/>
    <m/>
    <m/>
    <m/>
    <m/>
    <m/>
    <m/>
    <m/>
    <m/>
    <m/>
    <m/>
  </r>
  <r>
    <n v="78"/>
    <x v="2"/>
    <x v="2"/>
    <m/>
    <x v="8"/>
    <x v="10"/>
    <m/>
    <m/>
    <m/>
    <m/>
    <m/>
    <m/>
    <m/>
    <m/>
    <m/>
    <m/>
  </r>
  <r>
    <n v="79"/>
    <x v="2"/>
    <x v="2"/>
    <m/>
    <x v="8"/>
    <x v="10"/>
    <m/>
    <m/>
    <m/>
    <m/>
    <m/>
    <m/>
    <m/>
    <m/>
    <m/>
    <m/>
  </r>
  <r>
    <n v="80"/>
    <x v="2"/>
    <x v="2"/>
    <m/>
    <x v="8"/>
    <x v="10"/>
    <m/>
    <m/>
    <m/>
    <m/>
    <m/>
    <m/>
    <m/>
    <m/>
    <m/>
    <m/>
  </r>
  <r>
    <n v="81"/>
    <x v="2"/>
    <x v="2"/>
    <m/>
    <x v="8"/>
    <x v="10"/>
    <m/>
    <m/>
    <m/>
    <m/>
    <m/>
    <m/>
    <m/>
    <m/>
    <m/>
    <m/>
  </r>
  <r>
    <n v="82"/>
    <x v="2"/>
    <x v="2"/>
    <m/>
    <x v="8"/>
    <x v="10"/>
    <m/>
    <m/>
    <m/>
    <m/>
    <m/>
    <m/>
    <m/>
    <m/>
    <m/>
    <m/>
  </r>
  <r>
    <n v="83"/>
    <x v="2"/>
    <x v="2"/>
    <m/>
    <x v="8"/>
    <x v="10"/>
    <m/>
    <m/>
    <m/>
    <m/>
    <m/>
    <m/>
    <m/>
    <m/>
    <m/>
    <m/>
  </r>
  <r>
    <n v="84"/>
    <x v="2"/>
    <x v="2"/>
    <m/>
    <x v="8"/>
    <x v="10"/>
    <m/>
    <m/>
    <m/>
    <m/>
    <m/>
    <m/>
    <m/>
    <m/>
    <m/>
    <m/>
  </r>
  <r>
    <n v="85"/>
    <x v="2"/>
    <x v="2"/>
    <m/>
    <x v="8"/>
    <x v="10"/>
    <m/>
    <m/>
    <m/>
    <m/>
    <m/>
    <m/>
    <m/>
    <m/>
    <m/>
    <m/>
  </r>
  <r>
    <n v="86"/>
    <x v="2"/>
    <x v="2"/>
    <m/>
    <x v="8"/>
    <x v="10"/>
    <m/>
    <m/>
    <m/>
    <m/>
    <m/>
    <m/>
    <m/>
    <m/>
    <m/>
    <m/>
  </r>
  <r>
    <n v="87"/>
    <x v="2"/>
    <x v="2"/>
    <m/>
    <x v="8"/>
    <x v="10"/>
    <m/>
    <m/>
    <m/>
    <m/>
    <m/>
    <m/>
    <m/>
    <m/>
    <m/>
    <m/>
  </r>
  <r>
    <n v="88"/>
    <x v="2"/>
    <x v="2"/>
    <m/>
    <x v="8"/>
    <x v="10"/>
    <m/>
    <m/>
    <m/>
    <m/>
    <m/>
    <m/>
    <m/>
    <m/>
    <m/>
    <m/>
  </r>
  <r>
    <n v="89"/>
    <x v="2"/>
    <x v="2"/>
    <m/>
    <x v="8"/>
    <x v="10"/>
    <m/>
    <m/>
    <m/>
    <m/>
    <m/>
    <m/>
    <m/>
    <m/>
    <m/>
    <m/>
  </r>
  <r>
    <n v="90"/>
    <x v="2"/>
    <x v="2"/>
    <m/>
    <x v="8"/>
    <x v="10"/>
    <m/>
    <m/>
    <m/>
    <m/>
    <m/>
    <m/>
    <m/>
    <m/>
    <m/>
    <m/>
  </r>
  <r>
    <n v="91"/>
    <x v="2"/>
    <x v="2"/>
    <m/>
    <x v="8"/>
    <x v="10"/>
    <m/>
    <m/>
    <m/>
    <m/>
    <m/>
    <m/>
    <m/>
    <m/>
    <m/>
    <m/>
  </r>
  <r>
    <n v="92"/>
    <x v="2"/>
    <x v="2"/>
    <m/>
    <x v="8"/>
    <x v="10"/>
    <m/>
    <m/>
    <m/>
    <m/>
    <m/>
    <m/>
    <m/>
    <m/>
    <m/>
    <m/>
  </r>
  <r>
    <n v="93"/>
    <x v="2"/>
    <x v="2"/>
    <m/>
    <x v="8"/>
    <x v="10"/>
    <m/>
    <m/>
    <m/>
    <m/>
    <m/>
    <m/>
    <m/>
    <m/>
    <m/>
    <m/>
  </r>
  <r>
    <n v="94"/>
    <x v="2"/>
    <x v="2"/>
    <m/>
    <x v="8"/>
    <x v="10"/>
    <m/>
    <m/>
    <m/>
    <m/>
    <m/>
    <m/>
    <m/>
    <m/>
    <m/>
    <m/>
  </r>
  <r>
    <n v="95"/>
    <x v="2"/>
    <x v="2"/>
    <m/>
    <x v="8"/>
    <x v="10"/>
    <m/>
    <m/>
    <m/>
    <m/>
    <m/>
    <m/>
    <m/>
    <m/>
    <m/>
    <m/>
  </r>
  <r>
    <n v="96"/>
    <x v="2"/>
    <x v="2"/>
    <m/>
    <x v="8"/>
    <x v="10"/>
    <m/>
    <m/>
    <m/>
    <m/>
    <m/>
    <m/>
    <m/>
    <m/>
    <m/>
    <m/>
  </r>
  <r>
    <n v="97"/>
    <x v="2"/>
    <x v="2"/>
    <m/>
    <x v="8"/>
    <x v="10"/>
    <m/>
    <m/>
    <m/>
    <m/>
    <m/>
    <m/>
    <m/>
    <m/>
    <m/>
    <m/>
  </r>
  <r>
    <n v="98"/>
    <x v="2"/>
    <x v="2"/>
    <m/>
    <x v="8"/>
    <x v="10"/>
    <m/>
    <m/>
    <m/>
    <m/>
    <m/>
    <m/>
    <m/>
    <m/>
    <m/>
    <m/>
  </r>
  <r>
    <n v="99"/>
    <x v="2"/>
    <x v="2"/>
    <m/>
    <x v="8"/>
    <x v="10"/>
    <m/>
    <m/>
    <m/>
    <m/>
    <m/>
    <m/>
    <m/>
    <m/>
    <m/>
    <m/>
  </r>
  <r>
    <n v="100"/>
    <x v="2"/>
    <x v="2"/>
    <m/>
    <x v="8"/>
    <x v="10"/>
    <m/>
    <m/>
    <m/>
    <m/>
    <m/>
    <m/>
    <m/>
    <m/>
    <m/>
    <m/>
  </r>
  <r>
    <n v="101"/>
    <x v="2"/>
    <x v="2"/>
    <m/>
    <x v="8"/>
    <x v="10"/>
    <m/>
    <m/>
    <m/>
    <m/>
    <m/>
    <m/>
    <m/>
    <m/>
    <m/>
    <m/>
  </r>
  <r>
    <n v="102"/>
    <x v="2"/>
    <x v="2"/>
    <m/>
    <x v="8"/>
    <x v="10"/>
    <m/>
    <m/>
    <m/>
    <m/>
    <m/>
    <m/>
    <m/>
    <m/>
    <m/>
    <m/>
  </r>
  <r>
    <n v="103"/>
    <x v="2"/>
    <x v="2"/>
    <m/>
    <x v="8"/>
    <x v="10"/>
    <m/>
    <m/>
    <m/>
    <m/>
    <m/>
    <m/>
    <m/>
    <m/>
    <m/>
    <m/>
  </r>
  <r>
    <n v="104"/>
    <x v="2"/>
    <x v="2"/>
    <m/>
    <x v="8"/>
    <x v="10"/>
    <m/>
    <m/>
    <m/>
    <m/>
    <m/>
    <m/>
    <m/>
    <m/>
    <m/>
    <m/>
  </r>
  <r>
    <n v="105"/>
    <x v="2"/>
    <x v="2"/>
    <m/>
    <x v="8"/>
    <x v="10"/>
    <m/>
    <m/>
    <m/>
    <m/>
    <m/>
    <m/>
    <m/>
    <m/>
    <m/>
    <m/>
  </r>
  <r>
    <n v="106"/>
    <x v="2"/>
    <x v="2"/>
    <m/>
    <x v="8"/>
    <x v="10"/>
    <m/>
    <m/>
    <m/>
    <m/>
    <m/>
    <m/>
    <m/>
    <m/>
    <m/>
    <m/>
  </r>
  <r>
    <n v="107"/>
    <x v="2"/>
    <x v="2"/>
    <m/>
    <x v="8"/>
    <x v="10"/>
    <m/>
    <m/>
    <m/>
    <m/>
    <m/>
    <m/>
    <m/>
    <m/>
    <m/>
    <m/>
  </r>
  <r>
    <n v="108"/>
    <x v="2"/>
    <x v="2"/>
    <m/>
    <x v="8"/>
    <x v="10"/>
    <m/>
    <m/>
    <m/>
    <m/>
    <m/>
    <m/>
    <m/>
    <m/>
    <m/>
    <m/>
  </r>
  <r>
    <n v="109"/>
    <x v="2"/>
    <x v="2"/>
    <m/>
    <x v="8"/>
    <x v="10"/>
    <m/>
    <m/>
    <m/>
    <m/>
    <m/>
    <m/>
    <m/>
    <m/>
    <m/>
    <m/>
  </r>
  <r>
    <n v="110"/>
    <x v="2"/>
    <x v="2"/>
    <m/>
    <x v="8"/>
    <x v="10"/>
    <m/>
    <m/>
    <m/>
    <m/>
    <m/>
    <m/>
    <m/>
    <m/>
    <m/>
    <m/>
  </r>
  <r>
    <n v="111"/>
    <x v="2"/>
    <x v="2"/>
    <m/>
    <x v="8"/>
    <x v="10"/>
    <m/>
    <m/>
    <m/>
    <m/>
    <m/>
    <m/>
    <m/>
    <m/>
    <m/>
    <m/>
  </r>
  <r>
    <n v="112"/>
    <x v="2"/>
    <x v="2"/>
    <m/>
    <x v="8"/>
    <x v="10"/>
    <m/>
    <m/>
    <m/>
    <m/>
    <m/>
    <m/>
    <m/>
    <m/>
    <m/>
    <m/>
  </r>
  <r>
    <n v="113"/>
    <x v="2"/>
    <x v="2"/>
    <m/>
    <x v="8"/>
    <x v="10"/>
    <m/>
    <m/>
    <m/>
    <m/>
    <m/>
    <m/>
    <m/>
    <m/>
    <m/>
    <m/>
  </r>
  <r>
    <n v="114"/>
    <x v="2"/>
    <x v="2"/>
    <m/>
    <x v="8"/>
    <x v="10"/>
    <m/>
    <m/>
    <m/>
    <m/>
    <m/>
    <m/>
    <m/>
    <m/>
    <m/>
    <m/>
  </r>
  <r>
    <n v="115"/>
    <x v="2"/>
    <x v="2"/>
    <m/>
    <x v="8"/>
    <x v="10"/>
    <m/>
    <m/>
    <m/>
    <m/>
    <m/>
    <m/>
    <m/>
    <m/>
    <m/>
    <m/>
  </r>
  <r>
    <n v="116"/>
    <x v="2"/>
    <x v="2"/>
    <m/>
    <x v="8"/>
    <x v="10"/>
    <m/>
    <m/>
    <m/>
    <m/>
    <m/>
    <m/>
    <m/>
    <m/>
    <m/>
    <m/>
  </r>
  <r>
    <n v="117"/>
    <x v="2"/>
    <x v="2"/>
    <m/>
    <x v="8"/>
    <x v="10"/>
    <m/>
    <m/>
    <m/>
    <m/>
    <m/>
    <m/>
    <m/>
    <m/>
    <m/>
    <m/>
  </r>
  <r>
    <n v="118"/>
    <x v="2"/>
    <x v="2"/>
    <m/>
    <x v="8"/>
    <x v="10"/>
    <m/>
    <m/>
    <m/>
    <m/>
    <m/>
    <m/>
    <m/>
    <m/>
    <m/>
    <m/>
  </r>
  <r>
    <m/>
    <x v="2"/>
    <x v="2"/>
    <m/>
    <x v="8"/>
    <x v="10"/>
    <m/>
    <m/>
    <m/>
    <m/>
    <m/>
    <m/>
    <m/>
    <m/>
    <m/>
    <m/>
  </r>
</pivotCacheRecords>
</file>

<file path=xl/pivotCache/pivotCacheRecords3.xml><?xml version="1.0" encoding="utf-8"?>
<pivotCacheRecords xmlns="http://schemas.openxmlformats.org/spreadsheetml/2006/main" xmlns:r="http://schemas.openxmlformats.org/officeDocument/2006/relationships" count="1108">
  <r>
    <n v="54"/>
    <s v="JFM19_Jan_Sprint"/>
    <d v="2019-01-01T00:00:00"/>
    <s v="FR-G-022-US-01: As an user, I should be able to save an exisiting use case into another use case  so that I can execute the same use cases with different input parameters"/>
    <s v="Code development"/>
    <x v="0"/>
    <n v="2.86"/>
    <n v="120"/>
    <n v="120"/>
    <s v="Completed"/>
    <n v="16.799979156353405"/>
    <n v="0.13999982630294505"/>
    <n v="0.13999982630294505"/>
    <n v="0"/>
    <n v="1"/>
  </r>
  <r>
    <n v="63"/>
    <s v="JFM19_Jan_Sprint"/>
    <d v="2019-01-01T00:00:00"/>
    <s v="FR-G-026-US-01: As a user, I want to be able to give star rating to use cases that I use, based on usefulness, so that it can guide others downloading the use case [Priority has been increased from 4 as the senior management wanted to have this feature]"/>
    <s v="Code development"/>
    <x v="1"/>
    <n v="2.86"/>
    <n v="110"/>
    <n v="110"/>
    <s v="Completed"/>
    <n v="15.399980893323955"/>
    <n v="0.13999982630294505"/>
    <n v="0.13999982630294505"/>
    <n v="0"/>
    <n v="1"/>
  </r>
  <r>
    <n v="103"/>
    <s v="JFM19_Jan_Sprint"/>
    <d v="2019-01-01T00:00:00"/>
    <s v="FR-S-005-US-01: As a user, I want to view and download related nodes of a use case to my studio, so that I can use them to create use cases"/>
    <s v="Code development"/>
    <x v="2"/>
    <n v="2.86"/>
    <n v="120"/>
    <n v="120"/>
    <s v="Completed"/>
    <n v="16.799979156353405"/>
    <n v="0.13999982630294505"/>
    <n v="0.13999982630294505"/>
    <n v="0"/>
    <n v="1"/>
  </r>
  <r>
    <n v="103"/>
    <s v="JFM19_Jan_Sprint"/>
    <d v="2019-01-01T00:00:00"/>
    <s v="FR-S-005-US-01-1 Central Support: As a user, I want to view and download related nodes of a use case to my studio, so that I can use them to create use cases"/>
    <s v="Code development"/>
    <x v="3"/>
    <n v="2.86"/>
    <n v="130"/>
    <n v="130"/>
    <s v="Completed"/>
    <n v="18.199977419382854"/>
    <n v="0.13999982630294502"/>
    <n v="0.13999982630294502"/>
    <n v="0"/>
    <n v="1"/>
  </r>
  <r>
    <n v="112"/>
    <s v="JFM19_Jan_Sprint"/>
    <d v="2019-01-01T00:00:00"/>
    <s v="NFR-U-14: As an user, I want access to training videos for critical features, so that dependencies and time for training is minimized"/>
    <s v="Code development"/>
    <x v="4"/>
    <n v="2.86"/>
    <n v="90"/>
    <n v="90"/>
    <s v="Completed"/>
    <n v="12.599984367265055"/>
    <n v="0.13999982630294505"/>
    <n v="0.13999982630294505"/>
    <n v="0"/>
    <n v="1"/>
  </r>
  <r>
    <n v="37"/>
    <s v="JFM19_Jan_Sprint"/>
    <d v="2019-01-01T00:00:00"/>
    <s v="NFR-SE-05: As a user with admin rights, I should be allowed to create or delete projects. Other users should not be allowed to delete projects."/>
    <s v="Code development"/>
    <x v="5"/>
    <n v="2.86"/>
    <n v="120"/>
    <n v="120"/>
    <s v="Completed"/>
    <n v="16.799979156353405"/>
    <n v="0.13999982630294505"/>
    <n v="0.13999982630294505"/>
    <n v="0"/>
    <n v="1"/>
  </r>
  <r>
    <n v="41"/>
    <s v="JFM19_Jan_Sprint"/>
    <d v="2019-01-01T00:00:00"/>
    <s v="FR-CM-005-US-03a: As a user, I should have the option of search based on _x000a_highest rated, _x000a_so that I get the ones of my interest as first ones in the list [Ratings can include attributes like feedback from others, productivity improvements it has brought to the teams)"/>
    <s v="Code development"/>
    <x v="6"/>
    <n v="2.86"/>
    <n v="75"/>
    <n v="75"/>
    <s v="Completed"/>
    <n v="10.499986972720878"/>
    <n v="0.13999982630294505"/>
    <n v="0.13999982630294505"/>
    <n v="0"/>
    <n v="1"/>
  </r>
  <r>
    <n v="49"/>
    <s v="JFM19_Jan_Sprint"/>
    <d v="2019-01-01T00:00:00"/>
    <s v=": UI based Installer for Single Kit"/>
    <s v="Code development"/>
    <x v="7"/>
    <n v="2.86"/>
    <n v="90"/>
    <n v="90"/>
    <s v="Completed"/>
    <n v="12.599984367265055"/>
    <n v="0.13999982630294505"/>
    <n v="0.13999982630294505"/>
    <n v="0"/>
    <n v="1"/>
  </r>
  <r>
    <n v="68"/>
    <s v="JFM19_Jan_Sprint"/>
    <d v="2019-01-01T00:00:00"/>
    <s v=": o Provide a 1 week usage license by default for ATLAS WB. Allow license request/download through UI as far as possible"/>
    <s v="Code development"/>
    <x v="8"/>
    <n v="2.86"/>
    <n v="90"/>
    <n v="90"/>
    <s v="Completed"/>
    <n v="12.599984367265055"/>
    <n v="0.13999982630294505"/>
    <n v="0.13999982630294505"/>
    <n v="0"/>
    <n v="1"/>
  </r>
  <r>
    <n v="98"/>
    <s v="JFM19_Jan_Sprint"/>
    <d v="2019-01-01T00:00:00"/>
    <s v=": Nodes count display   for Node group in Studio"/>
    <s v="Code development"/>
    <x v="6"/>
    <n v="2.86"/>
    <n v="90"/>
    <n v="90"/>
    <s v="Completed"/>
    <n v="12.599984367265055"/>
    <n v="0.13999982630294505"/>
    <n v="0.13999982630294505"/>
    <n v="0"/>
    <n v="1"/>
  </r>
  <r>
    <n v="117"/>
    <s v="JFM19_Jan_Sprint"/>
    <d v="2019-01-01T00:00:00"/>
    <s v=": Allowing subfolders and nodes  under a folder in Studio"/>
    <s v="Code development"/>
    <x v="9"/>
    <n v="2.86"/>
    <n v="90"/>
    <n v="90"/>
    <s v="Completed"/>
    <n v="12.599984367265055"/>
    <n v="0.13999982630294505"/>
    <n v="0.13999982630294505"/>
    <n v="0"/>
    <n v="1"/>
  </r>
  <r>
    <n v="81"/>
    <s v="JFM19_Jan_Sprint"/>
    <d v="2019-01-01T00:00:00"/>
    <s v="ATLAS WB: Support importing for Node with libraries to/from Node strore"/>
    <s v="Code development"/>
    <x v="10"/>
    <n v="2.86"/>
    <n v="120"/>
    <n v="120"/>
    <s v="Completed"/>
    <n v="16.799979156353405"/>
    <n v="0.13999982630294505"/>
    <n v="0.13999982630294505"/>
    <n v="0"/>
    <n v="1"/>
  </r>
  <r>
    <n v="81"/>
    <s v="JFM19_Jan_Sprint"/>
    <d v="2019-01-01T00:00:00"/>
    <s v="ATLAS Central: Support importing for Node with libraries to/from Node strore"/>
    <s v="Code development"/>
    <x v="11"/>
    <n v="2.86"/>
    <n v="120"/>
    <n v="120"/>
    <s v="Completed"/>
    <n v="16.799979156353405"/>
    <n v="0.13999982630294505"/>
    <n v="0.13999982630294505"/>
    <n v="0"/>
    <n v="1"/>
  </r>
  <r>
    <n v="87"/>
    <s v="JFM19_Jan_Sprint"/>
    <d v="2019-01-01T00:00:00"/>
    <s v=": User Management in ATLAS Workbench"/>
    <s v="Code development"/>
    <x v="12"/>
    <n v="2.86"/>
    <n v="120"/>
    <n v="120"/>
    <s v="Completed"/>
    <n v="16.799979156353405"/>
    <n v="0.13999982630294505"/>
    <n v="0.13999982630294505"/>
    <n v="0"/>
    <n v="1"/>
  </r>
  <r>
    <n v="93"/>
    <s v="JFM19_Jan_Sprint"/>
    <d v="2019-01-01T00:00:00"/>
    <s v="Jan Sprint test case creation"/>
    <s v="Test case creation"/>
    <x v="13"/>
    <n v="-2.14"/>
    <n v="90"/>
    <n v="90"/>
    <s v="Completed"/>
    <n v="12.599874939206558"/>
    <n v="0.13999861043562842"/>
    <n v="0.13999861043562842"/>
    <n v="0"/>
    <n v="1"/>
  </r>
  <r>
    <n v="8"/>
    <s v="JFM19_Jan_Sprint"/>
    <d v="2019-01-01T00:00:00"/>
    <s v="Testcase Review"/>
    <s v="Test case review"/>
    <x v="14"/>
    <n v="35.14"/>
    <n v="40"/>
    <n v="40"/>
    <s v="Completed"/>
    <n v="5.6001389612645482"/>
    <n v="0.1400034740316137"/>
    <n v="0.1400034740316137"/>
    <n v="0"/>
    <n v="1"/>
  </r>
  <r>
    <n v="9"/>
    <s v="JFM19_Jan_Sprint"/>
    <d v="2019-01-01T00:00:00"/>
    <s v="Testcase Creation"/>
    <s v="Test case creation"/>
    <x v="15"/>
    <n v="75.709999999999994"/>
    <n v="120"/>
    <n v="90"/>
    <s v="Completed"/>
    <n v="16.80012506296573"/>
    <n v="0.18666805625517477"/>
    <n v="0.14000104219138107"/>
    <n v="33.333333333333343"/>
    <n v="1.3333333333333335"/>
  </r>
  <r>
    <n v="93"/>
    <s v="JFM19_Jan_Sprint"/>
    <d v="2019-01-01T00:00:00"/>
    <s v="Jan Sprint test case creation"/>
    <s v="Test case creation"/>
    <x v="16"/>
    <n v="-2.14"/>
    <n v="90"/>
    <n v="90"/>
    <s v="Completed"/>
    <n v="12.599874939206558"/>
    <n v="0.13999861043562842"/>
    <n v="0.13999861043562842"/>
    <n v="0"/>
    <n v="1"/>
  </r>
  <r>
    <n v="8"/>
    <s v="JFM19_Jan_Sprint"/>
    <d v="2019-01-01T00:00:00"/>
    <s v="Testcase Review"/>
    <s v="Test case review"/>
    <x v="16"/>
    <n v="35.14"/>
    <n v="40"/>
    <n v="40"/>
    <s v="Completed"/>
    <n v="5.6001389612645482"/>
    <n v="0.1400034740316137"/>
    <n v="0.1400034740316137"/>
    <n v="0"/>
    <n v="1"/>
  </r>
  <r>
    <n v="9"/>
    <s v="JFM19_Jan_Sprint"/>
    <d v="2019-01-01T00:00:00"/>
    <s v="Sprint Abalysis"/>
    <s v="Others (such as -Analysis, Design, CI)"/>
    <x v="11"/>
    <n v="5.71"/>
    <n v="70"/>
    <n v="90"/>
    <s v="Completed"/>
    <n v="9.8000729533966773"/>
    <n v="0.1088896994821853"/>
    <n v="0.1400010421913811"/>
    <n v="-22.222222222222221"/>
    <n v="0.77777777777777779"/>
  </r>
  <r>
    <n v="9"/>
    <s v="JFM19_Jan_Sprint"/>
    <d v="2019-01-01T00:00:00"/>
    <s v="Sprint Abalysis"/>
    <s v="Others (such as -Analysis, Design, CI)"/>
    <x v="7"/>
    <n v="5.71"/>
    <n v="90"/>
    <n v="90"/>
    <s v="Completed"/>
    <n v="12.600093797224298"/>
    <n v="0.1400010421913811"/>
    <n v="0.1400010421913811"/>
    <n v="0"/>
    <n v="1"/>
  </r>
  <r>
    <n v="9"/>
    <s v="JFM19_Jan_Sprint"/>
    <d v="2019-01-01T00:00:00"/>
    <s v="Sprint Abalysis"/>
    <s v="Others (such as -Analysis, Design, CI)"/>
    <x v="8"/>
    <n v="5.71"/>
    <n v="90"/>
    <n v="90"/>
    <s v="Completed"/>
    <n v="12.600093797224298"/>
    <n v="0.1400010421913811"/>
    <n v="0.1400010421913811"/>
    <n v="0"/>
    <n v="1"/>
  </r>
  <r>
    <n v="10"/>
    <s v="JFM19_Jan_Sprint"/>
    <d v="2019-01-01T00:00:00"/>
    <s v="Test Creation ATLAS TAF feature"/>
    <s v="Test case creation"/>
    <x v="17"/>
    <n v="-2.14"/>
    <n v="60"/>
    <n v="50"/>
    <s v="Completed"/>
    <n v="8.3999166261377045"/>
    <n v="0.16799833252275409"/>
    <n v="0.13999861043562842"/>
    <n v="19.999999999999993"/>
    <n v="1.2"/>
  </r>
  <r>
    <n v="10"/>
    <s v="JFM19_Jan_Sprint"/>
    <d v="2019-01-01T00:00:00"/>
    <s v="Test Creation ATLAS TAF feature"/>
    <s v="Test case creation"/>
    <x v="14"/>
    <n v="-2.14"/>
    <n v="50"/>
    <n v="50"/>
    <s v="Completed"/>
    <n v="6.9999305217814207"/>
    <n v="0.13999861043562842"/>
    <n v="0.13999861043562842"/>
    <n v="0"/>
    <n v="1"/>
  </r>
  <r>
    <n v="11"/>
    <s v="JFM19_Jan_Sprint"/>
    <d v="2019-01-01T00:00:00"/>
    <s v="ATLAS 070 QA Testing - TAF services"/>
    <s v="Manual testing"/>
    <x v="16"/>
    <n v="75.709999999999994"/>
    <n v="60"/>
    <n v="100"/>
    <s v="Completed"/>
    <n v="8.400062531482865"/>
    <n v="8.4000625314828645E-2"/>
    <n v="0.14000104219138107"/>
    <n v="-40"/>
    <n v="0.6"/>
  </r>
  <r>
    <n v="11"/>
    <s v="JFM19_Jan_Sprint"/>
    <d v="2019-01-01T00:00:00"/>
    <s v="ATLAS 070 QA Testing - TAF services"/>
    <s v="Manual testing"/>
    <x v="14"/>
    <n v="75.709999999999994"/>
    <n v="100"/>
    <n v="100"/>
    <s v="Completed"/>
    <n v="14.000104219138109"/>
    <n v="0.1400010421913811"/>
    <n v="0.1400010421913811"/>
    <n v="0"/>
    <n v="1"/>
  </r>
  <r>
    <n v="36"/>
    <s v="JFM19_Jan_Sprint"/>
    <d v="2019-01-01T00:00:00"/>
    <s v="ATLAS 070 QA Testing - TAF services"/>
    <s v="Manual testing"/>
    <x v="15"/>
    <e v="#REF!"/>
    <n v="60"/>
    <n v="120"/>
    <s v="Completed"/>
    <e v="#REF!"/>
    <s v=""/>
    <s v=""/>
    <s v=""/>
    <s v=""/>
  </r>
  <r>
    <n v="38"/>
    <s v="JFM19_Jan_Sprint"/>
    <d v="2019-01-01T00:00:00"/>
    <s v="ATLAS 070 QA Testing - TAF services"/>
    <s v="Manual testing"/>
    <x v="13"/>
    <n v="75.709999999999994"/>
    <n v="110"/>
    <n v="110"/>
    <s v="Completed"/>
    <n v="15.400114641051919"/>
    <n v="0.1400010421913811"/>
    <n v="0.1400010421913811"/>
    <n v="0"/>
    <n v="1"/>
  </r>
  <r>
    <n v="1"/>
    <s v="JFM19_Jan_Sprint"/>
    <d v="2019-01-01T00:00:00"/>
    <s v="Daily build creation"/>
    <s v="Sprint Support Activities"/>
    <x v="18"/>
    <n v="5.71"/>
    <n v="110"/>
    <n v="110"/>
    <s v="Completed"/>
    <n v="15.400114641051921"/>
    <n v="0.1400010421913811"/>
    <n v="0.1400010421913811"/>
    <n v="0"/>
    <n v="1"/>
  </r>
  <r>
    <n v="12"/>
    <s v="JFM19_Jan_Sprint"/>
    <d v="2019-01-01T00:00:00"/>
    <s v="Prepare integrated dev environment"/>
    <s v="Sprint Support Activities"/>
    <x v="19"/>
    <n v="5.71"/>
    <n v="70"/>
    <n v="70"/>
    <s v="Completed"/>
    <n v="9.8000729533966773"/>
    <n v="0.1400010421913811"/>
    <n v="0.1400010421913811"/>
    <n v="0"/>
    <n v="1"/>
  </r>
  <r>
    <n v="19"/>
    <s v="JFM19_Jan_Sprint"/>
    <d v="2019-01-01T00:00:00"/>
    <s v="Coding and Unit testing"/>
    <s v="Others (such as -Analysis, Design, CI)"/>
    <x v="20"/>
    <n v="-1.43"/>
    <n v="40"/>
    <n v="40"/>
    <s v="Completed"/>
    <n v="5.6000092638697492"/>
    <n v="0.14000023159674374"/>
    <n v="0.14000023159674374"/>
    <n v="0"/>
    <n v="1"/>
  </r>
  <r>
    <n v="1"/>
    <s v="JFM19_Jan_Sprint"/>
    <d v="2019-01-01T00:00:00"/>
    <s v="Daily build creation"/>
    <s v="Sprint Support Activities"/>
    <x v="21"/>
    <n v="5.71"/>
    <n v="70"/>
    <n v="110"/>
    <s v="Completed"/>
    <n v="9.8000729533966773"/>
    <n v="8.9091572303606162E-2"/>
    <n v="0.1400010421913811"/>
    <n v="-36.36363636363636"/>
    <n v="0.63636363636363646"/>
  </r>
  <r>
    <n v="1"/>
    <s v="JFM19_Jan_Sprint"/>
    <d v="2019-01-01T00:00:00"/>
    <s v="Test use case creation"/>
    <s v="Manual testing"/>
    <x v="21"/>
    <n v="75.709999999999994"/>
    <n v="110"/>
    <n v="110"/>
    <s v="Completed"/>
    <n v="15.400114641051919"/>
    <n v="0.1400010421913811"/>
    <n v="0.1400010421913811"/>
    <n v="0"/>
    <n v="1"/>
  </r>
  <r>
    <n v="19"/>
    <s v="JFM19_Jan_Sprint"/>
    <d v="2019-01-01T00:00:00"/>
    <s v="Coding and Unit testing"/>
    <s v="Others (such as -Analysis, Design, CI)"/>
    <x v="22"/>
    <n v="-1.43"/>
    <n v="40"/>
    <n v="40"/>
    <s v="Completed"/>
    <n v="5.6000092638697492"/>
    <n v="0.14000023159674374"/>
    <n v="0.14000023159674374"/>
    <n v="0"/>
    <n v="1"/>
  </r>
  <r>
    <n v="19"/>
    <s v="JFM19_Jan_Sprint"/>
    <d v="2019-01-01T00:00:00"/>
    <s v="MWC support"/>
    <s v="Others (such as -Analysis, Design, CI)"/>
    <x v="18"/>
    <n v="-1.43"/>
    <n v="75"/>
    <n v="40"/>
    <s v="Completed"/>
    <n v="10.500017369755779"/>
    <n v="0.26250043424389446"/>
    <n v="0.14000023159674371"/>
    <n v="87.5"/>
    <n v="1.875"/>
  </r>
  <r>
    <n v="19"/>
    <s v="JFM19_Jan_Sprint"/>
    <d v="2019-01-01T00:00:00"/>
    <s v="Coding and Unit testing"/>
    <s v="Others (such as -Analysis, Design, CI)"/>
    <x v="20"/>
    <n v="-1.43"/>
    <n v="50"/>
    <n v="40"/>
    <s v="Completed"/>
    <n v="7.0000115798371869"/>
    <n v="0.17500028949592966"/>
    <n v="0.14000023159674374"/>
    <n v="24.999999999999989"/>
    <n v="1.25"/>
  </r>
  <r>
    <n v="12"/>
    <s v="JFM19_Jan_Sprint"/>
    <d v="2019-01-01T00:00:00"/>
    <s v="Prepare integrated dev environment"/>
    <s v="Sprint Support Activities"/>
    <x v="0"/>
    <n v="5.71"/>
    <n v="70"/>
    <n v="70"/>
    <s v="Completed"/>
    <n v="9.8000729533966773"/>
    <n v="0.1400010421913811"/>
    <n v="0.1400010421913811"/>
    <n v="0"/>
    <n v="1"/>
  </r>
  <r>
    <n v="19"/>
    <s v="JFM19_Jan_Sprint"/>
    <d v="2019-01-01T00:00:00"/>
    <s v="Coding and Unit testing"/>
    <s v="Others (such as -Analysis, Design, CI)"/>
    <x v="21"/>
    <n v="-1.43"/>
    <n v="40"/>
    <n v="40"/>
    <s v="Completed"/>
    <n v="5.6000092638697492"/>
    <n v="0.14000023159674374"/>
    <n v="0.14000023159674374"/>
    <n v="0"/>
    <n v="1"/>
  </r>
  <r>
    <n v="28"/>
    <s v="JFM19_Jan_Sprint"/>
    <d v="2019-01-01T00:00:00"/>
    <s v="Resolving Issues and Rework"/>
    <s v="Code development"/>
    <x v="19"/>
    <n v="2.86"/>
    <n v="120"/>
    <n v="120"/>
    <s v="Completed"/>
    <n v="16.799979156353405"/>
    <n v="0.13999982630294505"/>
    <n v="0.13999982630294505"/>
    <n v="0"/>
    <n v="1"/>
  </r>
  <r>
    <n v="42"/>
    <s v="JFM19_Jan_Sprint"/>
    <d v="2019-01-01T00:00:00"/>
    <s v="Coding and Unit testing"/>
    <s v="Code development"/>
    <x v="23"/>
    <n v="2.86"/>
    <n v="55"/>
    <n v="55"/>
    <s v="Completed"/>
    <n v="7.6999904466619773"/>
    <n v="0.13999982630294505"/>
    <n v="0.13999982630294505"/>
    <n v="0"/>
    <n v="1"/>
  </r>
  <r>
    <n v="4"/>
    <s v="JFM19_Jan_Sprint"/>
    <d v="2019-01-01T00:00:00"/>
    <s v="Resolving Defects and Rework"/>
    <s v="Code development"/>
    <x v="20"/>
    <n v="2.86"/>
    <n v="90"/>
    <n v="90"/>
    <s v="Completed"/>
    <n v="12.599984367265055"/>
    <n v="0.13999982630294505"/>
    <n v="0.13999982630294505"/>
    <n v="0"/>
    <n v="1"/>
  </r>
  <r>
    <n v="15"/>
    <s v="JFM19_Jan_Sprint"/>
    <d v="2019-01-01T00:00:00"/>
    <s v="Use case development"/>
    <s v="Code development"/>
    <x v="23"/>
    <n v="2.86"/>
    <n v="110"/>
    <n v="110"/>
    <s v="Completed"/>
    <n v="15.399980893323955"/>
    <n v="0.13999982630294505"/>
    <n v="0.13999982630294505"/>
    <n v="0"/>
    <n v="1"/>
  </r>
  <r>
    <n v="15"/>
    <s v="JFM19_Jan_Sprint"/>
    <d v="2019-01-01T00:00:00"/>
    <s v="Use case development"/>
    <s v="Code development"/>
    <x v="24"/>
    <n v="2.86"/>
    <n v="110"/>
    <n v="110"/>
    <s v="Completed"/>
    <n v="15.399980893323955"/>
    <n v="0.13999982630294505"/>
    <n v="0.13999982630294505"/>
    <n v="0"/>
    <n v="1"/>
  </r>
  <r>
    <n v="15"/>
    <s v="JFM19_Jan_Sprint"/>
    <d v="2019-01-01T00:00:00"/>
    <s v="Use case development"/>
    <s v="Code development"/>
    <x v="25"/>
    <n v="2.86"/>
    <n v="110"/>
    <n v="110"/>
    <s v="Completed"/>
    <n v="15.399980893323955"/>
    <n v="0.13999982630294505"/>
    <n v="0.13999982630294505"/>
    <n v="0"/>
    <n v="1"/>
  </r>
  <r>
    <n v="15"/>
    <s v="JFM19_Jan_Sprint"/>
    <d v="2019-01-01T00:00:00"/>
    <s v="Use case development"/>
    <s v="Code development"/>
    <x v="22"/>
    <n v="2.86"/>
    <n v="110"/>
    <n v="110"/>
    <s v="Completed"/>
    <n v="15.399980893323955"/>
    <n v="0.13999982630294505"/>
    <n v="0.13999982630294505"/>
    <n v="0"/>
    <n v="1"/>
  </r>
  <r>
    <n v="15"/>
    <s v="JFM19_Jan_Sprint"/>
    <d v="2019-01-01T00:00:00"/>
    <s v="Use case development"/>
    <s v="Code development"/>
    <x v="4"/>
    <n v="2.86"/>
    <n v="110"/>
    <n v="110"/>
    <s v="Completed"/>
    <n v="15.399980893323955"/>
    <n v="0.13999982630294505"/>
    <n v="0.13999982630294505"/>
    <n v="0"/>
    <n v="1"/>
  </r>
  <r>
    <n v="15"/>
    <s v="JFM19_Jan_Sprint"/>
    <d v="2019-01-01T00:00:00"/>
    <s v="Use case documentation"/>
    <s v="Others (such as -Analysis, Design, CI)"/>
    <x v="26"/>
    <n v="-1.43"/>
    <n v="180"/>
    <n v="110"/>
    <s v="Completed"/>
    <n v="25.200041687413876"/>
    <n v="0.22909128806739887"/>
    <n v="0.14000023159674374"/>
    <n v="63.636363636363647"/>
    <n v="1.6363636363636365"/>
  </r>
  <r>
    <n v="15"/>
    <s v="JFM19_Jan_Sprint"/>
    <d v="2019-01-01T00:00:00"/>
    <s v="Use case development"/>
    <s v="Others (such as -Analysis, Design, CI)"/>
    <x v="27"/>
    <n v="-1.43"/>
    <n v="180"/>
    <n v="110"/>
    <s v="Completed"/>
    <n v="25.200041687413876"/>
    <n v="0.22909128806739887"/>
    <n v="0.14000023159674374"/>
    <n v="63.636363636363647"/>
    <n v="1.6363636363636365"/>
  </r>
  <r>
    <n v="15"/>
    <s v="JFM19_Jan_Sprint"/>
    <d v="2019-01-01T00:00:00"/>
    <s v="Demo Setup"/>
    <s v="Others (such as -Analysis, Design, CI)"/>
    <x v="25"/>
    <n v="-1.43"/>
    <n v="60"/>
    <n v="110"/>
    <s v="Completed"/>
    <n v="8.4000138958046247"/>
    <n v="7.6363762689132947E-2"/>
    <n v="0.14000023159674374"/>
    <n v="-45.45454545454546"/>
    <n v="0.54545454545454541"/>
  </r>
  <r>
    <n v="15"/>
    <s v="JFM19_Jan_Sprint"/>
    <d v="2019-01-01T00:00:00"/>
    <s v="Deployment support"/>
    <s v="Others (such as -Analysis, Design, CI)"/>
    <x v="28"/>
    <n v="-1.43"/>
    <n v="130"/>
    <n v="110"/>
    <s v="Completed"/>
    <n v="18.200030107576687"/>
    <n v="0.16545481915978807"/>
    <n v="0.14000023159674374"/>
    <n v="18.181818181818194"/>
    <n v="1.1818181818181819"/>
  </r>
  <r>
    <n v="15"/>
    <s v="JFM19_Jan_Sprint"/>
    <d v="2019-01-01T00:00:00"/>
    <s v="Deployment support"/>
    <s v="Others (such as -Analysis, Design, CI)"/>
    <x v="9"/>
    <n v="-1.43"/>
    <n v="70"/>
    <n v="110"/>
    <s v="Completed"/>
    <n v="9.8000162117720624"/>
    <n v="8.9091056470655114E-2"/>
    <n v="0.14000023159674374"/>
    <n v="-36.36363636363636"/>
    <n v="0.63636363636363635"/>
  </r>
  <r>
    <n v="22"/>
    <s v="JFM19_Jan_Sprint"/>
    <d v="2019-01-01T00:00:00"/>
    <s v="Bug-5563-Apache POI.Fetching Content enclosed  in Delimiters from Word(Docx). SVN : 33728"/>
    <s v="Sprint rework"/>
    <x v="23"/>
    <n v="4.57"/>
    <n v="8"/>
    <n v="8"/>
    <s v="Completed"/>
    <n v="1.1200034739561848"/>
    <n v="0.1400004342445231"/>
    <n v="0.1400004342445231"/>
    <n v="0"/>
    <n v="1"/>
  </r>
  <r>
    <n v="73"/>
    <s v="JFM19_Jan_Sprint"/>
    <d v="2019-01-01T00:00:00"/>
    <s v="Bug-5564-Apache POI. Find and Replace content across word document(DOCX), with font customization."/>
    <s v="Sprint rework"/>
    <x v="23"/>
    <n v="4.57"/>
    <n v="8"/>
    <n v="8"/>
    <s v="Completed"/>
    <n v="1.1200034739561848"/>
    <n v="0.1400004342445231"/>
    <n v="0.1400004342445231"/>
    <n v="0"/>
    <n v="1"/>
  </r>
  <r>
    <n v="74"/>
    <s v="JFM19_Jan_Sprint"/>
    <d v="2019-01-01T00:00:00"/>
    <s v="Bug-5565-Apache POI. Find Comments across word document(DOCX) and return Comments with Author and its text."/>
    <s v="Sprint rework"/>
    <x v="1"/>
    <n v="4.57"/>
    <n v="8"/>
    <n v="8"/>
    <s v="Completed"/>
    <n v="1.1200034739561848"/>
    <n v="0.1400004342445231"/>
    <n v="0.1400004342445231"/>
    <n v="0"/>
    <n v="1"/>
  </r>
  <r>
    <n v="5"/>
    <s v="JFM19_Jan_Sprint"/>
    <d v="2019-01-01T00:00:00"/>
    <s v="Bug-5569-find and replace content across word: As per info, path which is showing in result is incorrect"/>
    <s v="Sprint rework"/>
    <x v="12"/>
    <n v="4.57"/>
    <n v="8"/>
    <n v="8"/>
    <s v="Completed"/>
    <n v="1.1200034739561848"/>
    <n v="0.1400004342445231"/>
    <n v="0.1400004342445231"/>
    <n v="0"/>
    <n v="1"/>
  </r>
  <r>
    <n v="16"/>
    <s v="JFM19_Jan_Sprint"/>
    <d v="2019-01-01T00:00:00"/>
    <s v="Bug-5537-Extract Content Enclosed In Delimiters From Word: Node name should be in small letters."/>
    <s v="Sprint rework"/>
    <x v="10"/>
    <n v="4.57"/>
    <n v="8"/>
    <n v="8"/>
    <s v="Completed"/>
    <n v="1.1200034739561848"/>
    <n v="0.1400004342445231"/>
    <n v="0.1400004342445231"/>
    <n v="0"/>
    <n v="1"/>
  </r>
  <r>
    <n v="23"/>
    <s v="JFM19_Jan_Sprint"/>
    <d v="2019-01-01T00:00:00"/>
    <s v="Bug-5495-Atlas-&gt;Login with valid credentials-&gt;Import the View Workpackage-&gt;Alignment is not correct after exceuting the Usecase."/>
    <s v="Sprint rework"/>
    <x v="10"/>
    <n v="4.57"/>
    <n v="8"/>
    <n v="8"/>
    <s v="Completed"/>
    <n v="1.1200034739561848"/>
    <n v="0.1400004342445231"/>
    <n v="0.1400004342445231"/>
    <n v="0"/>
    <n v="1"/>
  </r>
  <r>
    <n v="27"/>
    <s v="JFM19_Jan_Sprint"/>
    <d v="2019-01-01T00:00:00"/>
    <s v="Bug-5496-Atlas-&gt;Login with valid credentials-&gt;Import the Viewworkpackage-&gt;Export functionality is not working"/>
    <s v="Sprint rework"/>
    <x v="22"/>
    <n v="4.57"/>
    <n v="6"/>
    <n v="6"/>
    <s v="Completed"/>
    <n v="0.84000260546713856"/>
    <n v="0.1400004342445231"/>
    <n v="0.1400004342445231"/>
    <n v="0"/>
    <n v="1"/>
  </r>
  <r>
    <n v="33"/>
    <s v="JFM19_Jan_Sprint"/>
    <d v="2019-01-01T00:00:00"/>
    <s v="Bug-5248-ATLAS Node --&gt; Insert Image in word POI --&gt; Node while executing as per Test Steps mentioned giving run-time error"/>
    <s v="Sprint rework"/>
    <x v="28"/>
    <n v="4.57"/>
    <n v="7"/>
    <n v="7"/>
    <s v="Completed"/>
    <n v="0.98000303971166169"/>
    <n v="0.1400004342445231"/>
    <n v="0.1400004342445231"/>
    <n v="0"/>
    <n v="1"/>
  </r>
  <r>
    <n v="39"/>
    <s v="JFM19_Jan_Sprint"/>
    <d v="2019-01-01T00:00:00"/>
    <s v="Bug-5253-Atlas Framework --&gt; ISE--&gt; File Upload page--&gt; Trying to run Defect Indexing Model-&gt; Getting alert as cannot found some path"/>
    <s v="Sprint rework"/>
    <x v="24"/>
    <n v="4.57"/>
    <n v="9"/>
    <n v="9"/>
    <s v="Completed"/>
    <n v="1.260003908200708"/>
    <n v="0.1400004342445231"/>
    <n v="0.1400004342445231"/>
    <n v="0"/>
    <n v="1"/>
  </r>
  <r>
    <n v="40"/>
    <s v="JFM19_Jan_Sprint"/>
    <d v="2019-01-01T00:00:00"/>
    <s v="Bug-5254-Atlas Framework --&gt; ISE--&gt; File Upload page--&gt; Trying to run Defect Indexing Model-&gt; Getting alert as cannot found some path"/>
    <s v="Sprint rework"/>
    <x v="8"/>
    <n v="4.57"/>
    <n v="9"/>
    <n v="9"/>
    <s v="Completed"/>
    <n v="1.260003908200708"/>
    <n v="0.1400004342445231"/>
    <n v="0.1400004342445231"/>
    <n v="0"/>
    <n v="1"/>
  </r>
  <r>
    <n v="53"/>
    <s v="JFM19_Jan_Sprint"/>
    <d v="2019-01-01T00:00:00"/>
    <s v="Bug-5427-ATLAS Single Kit Installation Guide_Why user being told to install 1.8.60 version, I already have higher version, also it is written that user should uninstall any other version"/>
    <s v="Sprint rework"/>
    <x v="3"/>
    <n v="4.57"/>
    <n v="9"/>
    <n v="9"/>
    <s v="Completed"/>
    <n v="1.260003908200708"/>
    <n v="0.1400004342445231"/>
    <n v="0.1400004342445231"/>
    <n v="0"/>
    <n v="1"/>
  </r>
  <r>
    <n v="69"/>
    <s v="JFM19_Jan_Sprint"/>
    <d v="2019-01-01T00:00:00"/>
    <s v="Bug-5438-Start-Atlas-components_Running â€œTaskkill /F /IM python.exe /Tâ€ how can it kill all python process on user machine without informing about this, UAT fails at this point."/>
    <s v="Sprint rework"/>
    <x v="18"/>
    <n v="4.57"/>
    <n v="8"/>
    <n v="8"/>
    <s v="Completed"/>
    <n v="1.1200034739561848"/>
    <n v="0.1400004342445231"/>
    <n v="0.1400004342445231"/>
    <n v="0"/>
    <n v="1"/>
  </r>
  <r>
    <n v="101"/>
    <s v="JFM19_Jan_Sprint"/>
    <d v="2019-01-01T00:00:00"/>
    <s v="Bug-5449-Providing DevTest/AtlasCentral/TAF login credentials instead of specifying the contact person details."/>
    <s v="Sprint rework"/>
    <x v="23"/>
    <n v="4.57"/>
    <n v="8"/>
    <n v="8"/>
    <s v="Completed"/>
    <n v="1.1200034739561848"/>
    <n v="0.1400004342445231"/>
    <n v="0.1400004342445231"/>
    <n v="0"/>
    <n v="1"/>
  </r>
  <r>
    <n v="102"/>
    <s v="JFM19_Jan_Sprint"/>
    <d v="2019-01-01T00:00:00"/>
    <s v="Bug-5453-Able to open Atlas at http://localhost:8085/AtlasWorkbench but do not have LDAP access. Again no information on default username and password"/>
    <s v="Sprint rework"/>
    <x v="12"/>
    <n v="4.57"/>
    <n v="8"/>
    <n v="8"/>
    <s v="Completed"/>
    <n v="1.1200034739561848"/>
    <n v="0.1400004342445231"/>
    <n v="0.1400004342445231"/>
    <n v="0"/>
    <n v="1"/>
  </r>
  <r>
    <n v="56"/>
    <s v="JFM19_Jan_Sprint"/>
    <d v="2019-01-01T00:00:00"/>
    <s v="Bug-5481-ATLAS Use Case --&gt; &quot;Feature Stability by Heat maps&quot; --&gt; FR-OB-009-US-02-TC03 --&gt; Use case this test case is getting failed."/>
    <s v="Sprint rework"/>
    <x v="8"/>
    <n v="4.57"/>
    <n v="8"/>
    <n v="8"/>
    <s v="Completed"/>
    <n v="1.1200034739561848"/>
    <n v="0.1400004342445231"/>
    <n v="0.1400004342445231"/>
    <n v="0"/>
    <n v="1"/>
  </r>
  <r>
    <n v="65"/>
    <s v="JFM19_Jan_Sprint"/>
    <d v="2019-01-01T00:00:00"/>
    <s v="Bug-5506-Autosignin  of TAF from Atlas Framework is happening, it is showing error message as &quot;Exception in createUserForTafError: Error running instance method&quot;"/>
    <s v="Sprint rework"/>
    <x v="25"/>
    <n v="4.57"/>
    <n v="8"/>
    <n v="8"/>
    <s v="Completed"/>
    <n v="1.1200034739561848"/>
    <n v="0.1400004342445231"/>
    <n v="0.1400004342445231"/>
    <n v="0"/>
    <n v="1"/>
  </r>
  <r>
    <n v="71"/>
    <s v="JFM19_Jan_Sprint"/>
    <d v="2019-01-01T00:00:00"/>
    <s v="Bug-5600-Comparison Viewer Use case -&gt; Pages -&gt; After completion of Comparing two pdf. -&gt; select File option -&gt; select checkbox on &quot;Show diff&quot; -&gt; automatically pages uploaded details display in the files option page."/>
    <s v="Sprint rework"/>
    <x v="27"/>
    <n v="4.57"/>
    <n v="8"/>
    <n v="8"/>
    <s v="Completed"/>
    <n v="1.1200034739561848"/>
    <n v="0.1400004342445231"/>
    <n v="0.1400004342445231"/>
    <n v="0"/>
    <n v="1"/>
  </r>
  <r>
    <n v="105"/>
    <s v="JFM19_Jan_Sprint"/>
    <d v="2019-01-01T00:00:00"/>
    <s v="Bug-5434-Installing PostgreSQL_20 GB for extracting the kit, whereas extracted size is less than 2 GB"/>
    <s v="Sprint rework"/>
    <x v="3"/>
    <n v="4.57"/>
    <n v="4"/>
    <n v="4"/>
    <s v="Completed"/>
    <n v="0.56000173697809241"/>
    <n v="0.1400004342445231"/>
    <n v="0.1400004342445231"/>
    <n v="0"/>
    <n v="1"/>
  </r>
  <r>
    <n v="114"/>
    <s v="JFM19_Jan_Sprint"/>
    <d v="2019-01-01T00:00:00"/>
    <s v="Bug-5436-Start-Atlas-components_ES is stuck at changing cluster status from red to yellow"/>
    <s v="Sprint rework"/>
    <x v="10"/>
    <n v="4.57"/>
    <n v="7"/>
    <n v="7"/>
    <s v="Completed"/>
    <n v="0.98000303971166169"/>
    <n v="0.1400004342445231"/>
    <n v="0.1400004342445231"/>
    <n v="0"/>
    <n v="1"/>
  </r>
  <r>
    <n v="80"/>
    <s v="JFM19_Jan_Sprint"/>
    <d v="2019-01-01T00:00:00"/>
    <s v="Bug-5439-ATLAS TC --&gt; CHTJ-TC01 --&gt; Node name mentioned in test steps does not exist in palette. Also the search keyword mentioned is incorrect"/>
    <s v="Sprint rework"/>
    <x v="10"/>
    <n v="4.57"/>
    <n v="7"/>
    <n v="7"/>
    <s v="Completed"/>
    <n v="0.98000303971166169"/>
    <n v="0.1400004342445231"/>
    <n v="0.1400004342445231"/>
    <n v="0"/>
    <n v="1"/>
  </r>
  <r>
    <n v="86"/>
    <s v="JFM19_Jan_Sprint"/>
    <d v="2019-01-01T00:00:00"/>
    <s v="Bug-5444-ATLAS Node --&gt; Insert image in word poi --&gt; Not giving expected output as mentioned in TC expected results"/>
    <s v="Sprint rework"/>
    <x v="10"/>
    <n v="4.57"/>
    <n v="7"/>
    <n v="7"/>
    <s v="Completed"/>
    <n v="0.98000303971166169"/>
    <n v="0.1400004342445231"/>
    <n v="0.1400004342445231"/>
    <n v="0"/>
    <n v="1"/>
  </r>
  <r>
    <n v="94"/>
    <s v="JFM19_Jan_Sprint"/>
    <d v="2019-01-01T00:00:00"/>
    <s v="Bug-5454-ATLAS TC --&gt; CHTJ-TC03 --&gt; Test steps mentioned under TC ID is not clear, not providing complete TC sceario"/>
    <s v="Sprint rework"/>
    <x v="1"/>
    <n v="4.57"/>
    <n v="7"/>
    <n v="7"/>
    <s v="Completed"/>
    <n v="0.98000303971166169"/>
    <n v="0.1400004342445231"/>
    <n v="0.1400004342445231"/>
    <n v="0"/>
    <n v="1"/>
  </r>
  <r>
    <n v="2"/>
    <s v="JFM19_Jan_Sprint"/>
    <d v="2019-01-01T00:00:00"/>
    <s v="Bug-5457-Missing Files, Binaries and Documents for PMML Node and Use Cases Verification"/>
    <s v="Sprint rework"/>
    <x v="1"/>
    <n v="4.57"/>
    <n v="9"/>
    <n v="9"/>
    <s v="Completed"/>
    <n v="1.260003908200708"/>
    <n v="0.1400004342445231"/>
    <n v="0.1400004342445231"/>
    <n v="0"/>
    <n v="1"/>
  </r>
  <r>
    <n v="13"/>
    <s v="JFM19_Jan_Sprint"/>
    <d v="2019-01-01T00:00:00"/>
    <s v="Bug-5460-FAQ document not updated, mentioned incorrect path for issue 'Run time guid not valid'"/>
    <s v="Sprint rework"/>
    <x v="1"/>
    <n v="4.57"/>
    <n v="9"/>
    <n v="9"/>
    <s v="Completed"/>
    <n v="1.260003908200708"/>
    <n v="0.1400004342445231"/>
    <n v="0.1400004342445231"/>
    <n v="0"/>
    <n v="1"/>
  </r>
  <r>
    <n v="20"/>
    <s v="JFM19_Jan_Sprint"/>
    <d v="2019-01-01T00:00:00"/>
    <s v="Bug-5469-Atlas TestCase--&gt;FR-S-007-US-01-TC001 --&gt; Testcase expected Result mentioned are incorrect."/>
    <s v="Sprint rework"/>
    <x v="1"/>
    <n v="4.57"/>
    <n v="9"/>
    <n v="9"/>
    <s v="Completed"/>
    <n v="1.260003908200708"/>
    <n v="0.1400004342445231"/>
    <n v="0.1400004342445231"/>
    <n v="0"/>
    <n v="1"/>
  </r>
  <r>
    <n v="29"/>
    <s v="JFM19_Jan_Sprint"/>
    <d v="2019-01-01T00:00:00"/>
    <s v="Bug-5472-Atlas login-&gt;Atlas Framework-&gt;Atlas studio-&gt;End separate process-&gt;Not capturing metrics information"/>
    <s v="Sprint rework"/>
    <x v="1"/>
    <n v="4.57"/>
    <n v="9"/>
    <n v="9"/>
    <s v="Completed"/>
    <n v="1.260003908200708"/>
    <n v="0.1400004342445231"/>
    <n v="0.1400004342445231"/>
    <n v="0"/>
    <n v="1"/>
  </r>
  <r>
    <n v="43"/>
    <s v="JFM19_Jan_Sprint"/>
    <d v="2019-01-01T00:00:00"/>
    <s v="Bug-5473-Atlas Testcase --&gt; FR-CM-010-US-03-TC004 -&gt;Edit project details in node instance details table--&gt; Unable to execute with the Information Provided."/>
    <s v="Sprint rework"/>
    <x v="1"/>
    <n v="4.57"/>
    <n v="9"/>
    <n v="9"/>
    <s v="Completed"/>
    <n v="1.260003908200708"/>
    <n v="0.1400004342445231"/>
    <n v="0.1400004342445231"/>
    <n v="0"/>
    <n v="1"/>
  </r>
  <r>
    <n v="44"/>
    <s v="JFM19_Jan_Sprint"/>
    <d v="2019-01-01T00:00:00"/>
    <s v="Bug-5475-ATLAS Node --&gt; &quot;extract images from excel&quot; --&gt; Node not extracting image and saving it, as per description"/>
    <s v="Sprint rework"/>
    <x v="1"/>
    <n v="4.57"/>
    <n v="9"/>
    <n v="9"/>
    <s v="Completed"/>
    <n v="1.260003908200708"/>
    <n v="0.1400004342445231"/>
    <n v="0.1400004342445231"/>
    <n v="0"/>
    <n v="1"/>
  </r>
  <r>
    <n v="77"/>
    <s v="JFM19_Jan_Sprint"/>
    <d v="2019-01-01T00:00:00"/>
    <s v="Bug-5478-Atlas Testcase --&gt; FR-E-001-US-01-TC01,FR-E-001-US-01-TC02 -&gt; Failing -&gt; able to login into ATLAS with expired license."/>
    <s v="Sprint rework"/>
    <x v="5"/>
    <n v="4.57"/>
    <n v="9"/>
    <n v="9"/>
    <s v="Completed"/>
    <n v="1.260003908200708"/>
    <n v="0.1400004342445231"/>
    <n v="0.1400004342445231"/>
    <n v="0"/>
    <n v="1"/>
  </r>
  <r>
    <n v="90"/>
    <s v="JFM19_Jan_Sprint"/>
    <d v="2019-01-01T00:00:00"/>
    <s v="Bug-5489-ATLAS Node --&gt; &quot;validate-json-record&quot; --&gt; Node not verifying the JSON record as per mentioned validation"/>
    <s v="Sprint rework"/>
    <x v="5"/>
    <n v="4.57"/>
    <n v="9"/>
    <n v="9"/>
    <s v="Completed"/>
    <n v="1.260003908200708"/>
    <n v="0.1400004342445231"/>
    <n v="0.1400004342445231"/>
    <n v="0"/>
    <n v="1"/>
  </r>
  <r>
    <n v="76"/>
    <s v="JFM19_Jan_Sprint"/>
    <d v="2019-01-01T00:00:00"/>
    <s v="Bug-5491-login --&gt; edit any usecase --&gt; edit profile config node --&gt; node not editable (FR-G-029-US-02-TC03)"/>
    <s v="Sprint rework"/>
    <x v="5"/>
    <n v="4.57"/>
    <n v="9"/>
    <n v="9"/>
    <s v="Completed"/>
    <n v="1.260003908200708"/>
    <n v="0.1400004342445231"/>
    <n v="0.1400004342445231"/>
    <n v="0"/>
    <n v="1"/>
  </r>
  <r>
    <n v="89"/>
    <s v="JFM19_Jan_Sprint"/>
    <d v="2019-01-01T00:00:00"/>
    <s v="Bug-5492-Steps mentioned for FR-CM-001-US-05-TC02 test case suggested to send mail but no such option is visible on UI"/>
    <s v="Sprint rework"/>
    <x v="5"/>
    <n v="4.57"/>
    <n v="9"/>
    <n v="9"/>
    <s v="Completed"/>
    <n v="1.260003908200708"/>
    <n v="0.1400004342445231"/>
    <n v="0.1400004342445231"/>
    <n v="0"/>
    <n v="1"/>
  </r>
  <r>
    <n v="82"/>
    <s v="JFM19_Jan_Sprint"/>
    <d v="2019-01-01T00:00:00"/>
    <s v="Bug-5493-Import usecase 'View Workpackage report' --&gt; execute it --&gt; click on any ID  --&gt; shows Error (FR-OB-001-US-09-TC04)"/>
    <s v="Sprint rework"/>
    <x v="5"/>
    <n v="4.57"/>
    <n v="9"/>
    <n v="9"/>
    <s v="Completed"/>
    <n v="1.260003908200708"/>
    <n v="0.1400004342445231"/>
    <n v="0.1400004342445231"/>
    <n v="0"/>
    <n v="1"/>
  </r>
  <r>
    <n v="95"/>
    <s v="JFM19_Jan_Sprint"/>
    <d v="2019-01-01T00:00:00"/>
    <s v="Bug-5494-Atlas Node-&gt;Set node is missing from the pallete it was introduced in Beta 1"/>
    <s v="Sprint rework"/>
    <x v="5"/>
    <n v="4.57"/>
    <n v="9"/>
    <n v="9"/>
    <s v="Completed"/>
    <n v="1.260003908200708"/>
    <n v="0.1400004342445231"/>
    <n v="0.1400004342445231"/>
    <n v="0"/>
    <n v="1"/>
  </r>
  <r>
    <n v="92"/>
    <s v="JFM19_Jan_Sprint"/>
    <d v="2019-01-01T00:00:00"/>
    <s v="Bug-5498-ATLAS UseCase--&gt; ISE Related Usecase--&gt; Not referring to any specific project name, bringing all project data, irrespective to project selected."/>
    <s v="Sprint rework"/>
    <x v="24"/>
    <n v="4.57"/>
    <n v="7"/>
    <n v="7"/>
    <s v="Completed"/>
    <n v="0.98000303971166169"/>
    <n v="0.1400004342445231"/>
    <n v="0.1400004342445231"/>
    <n v="0"/>
    <n v="1"/>
  </r>
  <r>
    <n v="96"/>
    <s v="JFM19_Jan_Sprint"/>
    <d v="2019-01-01T00:00:00"/>
    <s v="Bug-5502-Atlas Testcase--&gt;FR-S-009-US-02-TC01 --&gt;Failed--&gt; When importing node without tag name through ATLAS framework-&gt; Not showing alert"/>
    <s v="Sprint rework"/>
    <x v="24"/>
    <n v="4.57"/>
    <n v="7"/>
    <n v="7"/>
    <s v="Completed"/>
    <n v="0.98000303971166169"/>
    <n v="0.1400004342445231"/>
    <n v="0.1400004342445231"/>
    <n v="0"/>
    <n v="1"/>
  </r>
  <r>
    <n v="75"/>
    <s v="JFM19_Jan_Sprint"/>
    <d v="2019-01-01T00:00:00"/>
    <s v="Bug-5504-Atlas Testcase-&gt;FR-CM-004-US-04-TC05-&gt;Asking us to delete the node-&gt; This functionaliy is removed in latest UAT build."/>
    <s v="Sprint rework"/>
    <x v="24"/>
    <n v="4.57"/>
    <n v="7"/>
    <n v="7"/>
    <s v="Completed"/>
    <n v="0.98000303971166169"/>
    <n v="0.1400004342445231"/>
    <n v="0.1400004342445231"/>
    <n v="0"/>
    <n v="1"/>
  </r>
  <r>
    <n v="88"/>
    <s v="JFM19_Jan_Sprint"/>
    <d v="2019-01-01T00:00:00"/>
    <s v="Bug-5505-ATLAS --&gt; NFR-M-08a-TC004 --&gt; Test steps mentioned against Test case, are not valid. There is no update related content in User-guide."/>
    <s v="Sprint rework"/>
    <x v="24"/>
    <n v="4.57"/>
    <n v="7"/>
    <n v="7"/>
    <s v="Completed"/>
    <n v="0.98000303971166169"/>
    <n v="0.1400004342445231"/>
    <n v="0.1400004342445231"/>
    <n v="0"/>
    <n v="1"/>
  </r>
  <r>
    <n v="58"/>
    <s v="JFM19_Jan_Sprint"/>
    <d v="2019-01-01T00:00:00"/>
    <s v="Bug-5507-Atlas UI :System flows usecase should not show in search list"/>
    <s v="Sprint rework"/>
    <x v="24"/>
    <n v="4.57"/>
    <n v="7"/>
    <n v="7"/>
    <s v="Completed"/>
    <n v="0.98000303971166169"/>
    <n v="0.1400004342445231"/>
    <n v="0.1400004342445231"/>
    <n v="0"/>
    <n v="1"/>
  </r>
  <r>
    <n v="107"/>
    <s v="JFM19_Jan_Sprint"/>
    <d v="2019-01-01T00:00:00"/>
    <s v="Bug-5517-not able to login into ISE from Functional Area with guest user"/>
    <s v="Sprint rework"/>
    <x v="24"/>
    <n v="4.57"/>
    <n v="7"/>
    <n v="7"/>
    <s v="Completed"/>
    <n v="0.98000303971166169"/>
    <n v="0.1400004342445231"/>
    <n v="0.1400004342445231"/>
    <n v="0"/>
    <n v="1"/>
  </r>
  <r>
    <n v="50"/>
    <s v="JFM19_Jan_Sprint"/>
    <d v="2019-01-01T00:00:00"/>
    <s v="Bug-5389-Email triggered with wrong status &amp; result for test execution 1 job. Thou test execution completed with passed status, still wrong details display."/>
    <s v="Sprint rework"/>
    <x v="12"/>
    <n v="4.57"/>
    <n v="4"/>
    <n v="4"/>
    <s v="Completed"/>
    <n v="0.56000173697809241"/>
    <n v="0.1400004342445231"/>
    <n v="0.1400004342445231"/>
    <n v="0"/>
    <n v="1"/>
  </r>
  <r>
    <n v="67"/>
    <s v="JFM19_Jan_Sprint"/>
    <d v="2019-01-01T00:00:00"/>
    <s v="Bug-5428-ATLAS Single Kit Installation Guide_Anyways the link Java Development Kit (JDK 1.8.60), on clicking takes user to 1.8.191, looks like this document has not been verified"/>
    <s v="Sprint rework"/>
    <x v="12"/>
    <n v="4.57"/>
    <n v="7"/>
    <n v="7"/>
    <s v="Completed"/>
    <n v="0.98000303971166169"/>
    <n v="0.1400004342445231"/>
    <n v="0.1400004342445231"/>
    <n v="0"/>
    <n v="1"/>
  </r>
  <r>
    <n v="99"/>
    <s v="JFM19_Jan_Sprint"/>
    <d v="2019-01-01T00:00:00"/>
    <s v="Bug-5432-Installing PostgreSQL_ Why â€œOutlook Configurationâ€ is given as software requirement, is â€œOutlook Clientâ€ a software requirement, or is its configuration"/>
    <s v="Sprint rework"/>
    <x v="12"/>
    <n v="4.57"/>
    <n v="7"/>
    <n v="7"/>
    <s v="Completed"/>
    <n v="0.98000303971166169"/>
    <n v="0.1400004342445231"/>
    <n v="0.1400004342445231"/>
    <n v="0"/>
    <n v="1"/>
  </r>
  <r>
    <n v="116"/>
    <s v="JFM19_Jan_Sprint"/>
    <d v="2019-01-01T00:00:00"/>
    <s v="Bug-5435-Installing PostgreSQL_user has to open path variable and add Jacob path there, we should do it in an automated way"/>
    <s v="Sprint rework"/>
    <x v="12"/>
    <n v="4.57"/>
    <n v="7"/>
    <n v="7"/>
    <s v="Completed"/>
    <n v="0.98000303971166169"/>
    <n v="0.1400004342445231"/>
    <n v="0.1400004342445231"/>
    <n v="0"/>
    <n v="1"/>
  </r>
  <r>
    <n v="79"/>
    <s v="JFM19_Jan_Sprint"/>
    <d v="2019-01-01T00:00:00"/>
    <s v="Bug-5437-Start-Atlas-components_Mongo DB connector scripts seems to point to a location that does not exist"/>
    <s v="Sprint rework"/>
    <x v="22"/>
    <n v="4.57"/>
    <n v="7"/>
    <n v="7"/>
    <s v="Completed"/>
    <n v="0.98000303971166169"/>
    <n v="0.1400004342445231"/>
    <n v="0.1400004342445231"/>
    <n v="0"/>
    <n v="1"/>
  </r>
  <r>
    <n v="85"/>
    <s v="JFM19_Jan_Sprint"/>
    <d v="2019-01-01T00:00:00"/>
    <s v="Bug-5443-Atlas Work Bench-&gt;Notification for the Use case End and Completed should be same across application"/>
    <s v="Sprint rework"/>
    <x v="22"/>
    <n v="4.57"/>
    <n v="4"/>
    <n v="4"/>
    <s v="Completed"/>
    <n v="0.56000173697809241"/>
    <n v="0.1400004342445231"/>
    <n v="0.1400004342445231"/>
    <n v="0"/>
    <n v="1"/>
  </r>
  <r>
    <n v="100"/>
    <s v="JFM19_Jan_Sprint"/>
    <d v="2019-01-01T00:00:00"/>
    <s v="Bug-5445-Run startAsDebug.bat in AtlasFramework folder_For license user has to send a lot of information to Atlas support team but there is no alias"/>
    <s v="Sprint rework"/>
    <x v="22"/>
    <n v="4.57"/>
    <n v="8"/>
    <n v="8"/>
    <s v="Completed"/>
    <n v="1.1200034739561848"/>
    <n v="0.1400004342445231"/>
    <n v="0.1400004342445231"/>
    <n v="0"/>
    <n v="1"/>
  </r>
  <r>
    <n v="57"/>
    <s v="JFM19_Jan_Sprint"/>
    <d v="2019-01-01T00:00:00"/>
    <s v="Bug-5455-FR-G-009-US-03-TC02: Test case is not correct Expected result is not written correctly"/>
    <s v="Sprint rework"/>
    <x v="22"/>
    <n v="4.57"/>
    <n v="8"/>
    <n v="8"/>
    <s v="Completed"/>
    <n v="1.1200034739561848"/>
    <n v="0.1400004342445231"/>
    <n v="0.1400004342445231"/>
    <n v="0"/>
    <n v="1"/>
  </r>
  <r>
    <n v="61"/>
    <s v="JFM19_Jan_Sprint"/>
    <d v="2019-01-01T00:00:00"/>
    <s v="Bug-5456-NFR-D-03-TC01: Incomplete information in the testcase"/>
    <s v="Sprint rework"/>
    <x v="22"/>
    <n v="4.57"/>
    <n v="8"/>
    <n v="8"/>
    <s v="Completed"/>
    <n v="1.1200034739561848"/>
    <n v="0.1400004342445231"/>
    <n v="0.1400004342445231"/>
    <n v="0"/>
    <n v="1"/>
  </r>
  <r>
    <n v="72"/>
    <s v="JFM19_Jan_Sprint"/>
    <d v="2019-01-01T00:00:00"/>
    <s v="Bug-5466-Atlas Studio-&gt; Entity Cluster node does not have correct collection info in the info section."/>
    <s v="Sprint rework"/>
    <x v="22"/>
    <n v="4.57"/>
    <n v="8"/>
    <n v="8"/>
    <s v="Completed"/>
    <n v="1.1200034739561848"/>
    <n v="0.1400004342445231"/>
    <n v="0.1400004342445231"/>
    <n v="0"/>
    <n v="1"/>
  </r>
  <r>
    <n v="106"/>
    <s v="JFM19_Jan_Sprint"/>
    <d v="2019-01-01T00:00:00"/>
    <s v="Bug-5482-Steps mentioned for AT_TC_088 test case is not understandable , what node needs to be picked up is not clear in test steps"/>
    <s v="Sprint rework"/>
    <x v="22"/>
    <n v="4.57"/>
    <n v="8"/>
    <n v="8"/>
    <s v="Completed"/>
    <n v="1.1200034739561848"/>
    <n v="0.1400004342445231"/>
    <n v="0.1400004342445231"/>
    <n v="0"/>
    <n v="1"/>
  </r>
  <r>
    <n v="110"/>
    <s v="JFM19_Jan_Sprint"/>
    <d v="2019-01-01T00:00:00"/>
    <s v="Bug-5483-Steps mentioned for AT_TC_114 test case is not understandable , what is runtime is not clear in test steps"/>
    <s v="Sprint rework"/>
    <x v="2"/>
    <n v="4.57"/>
    <n v="9"/>
    <n v="9"/>
    <s v="Completed"/>
    <n v="1.260003908200708"/>
    <n v="0.1400004342445231"/>
    <n v="0.1400004342445231"/>
    <n v="0"/>
    <n v="1"/>
  </r>
  <r>
    <n v="120"/>
    <s v="JFM19_Jan_Sprint"/>
    <d v="2019-01-01T00:00:00"/>
    <s v="Bug-5490-Steps mentioned for AT_TC_160 test case is not understandable , what is recorder node , I can not find any such node in Atlas"/>
    <s v="Sprint rework"/>
    <x v="2"/>
    <n v="4.57"/>
    <n v="4"/>
    <n v="4"/>
    <s v="Completed"/>
    <n v="0.56000173697809241"/>
    <n v="0.1400004342445231"/>
    <n v="0.1400004342445231"/>
    <n v="0"/>
    <n v="1"/>
  </r>
  <r>
    <n v="55"/>
    <s v="JFM19_Jan_Sprint"/>
    <d v="2019-01-01T00:00:00"/>
    <s v="Bug-5503-Atlas Testcase--&gt; FR-S-009-US-01-TC02 -&gt; Not correct info mentioned in description. --&gt; Correct description should be--&gt;Upload required node as .zip file"/>
    <s v="Sprint rework"/>
    <x v="2"/>
    <n v="4.57"/>
    <n v="4"/>
    <n v="4"/>
    <s v="Completed"/>
    <n v="0.56000173697809241"/>
    <n v="0.1400004342445231"/>
    <n v="0.1400004342445231"/>
    <n v="0"/>
    <n v="1"/>
  </r>
  <r>
    <n v="64"/>
    <s v="JFM19_Jan_Sprint"/>
    <d v="2019-01-01T00:00:00"/>
    <s v="Bug-5514-Scroll bar is disappearing in Use case level history screen if we go to work log screen and come back"/>
    <s v="Sprint rework"/>
    <x v="2"/>
    <n v="4.57"/>
    <n v="9"/>
    <n v="9"/>
    <s v="Completed"/>
    <n v="1.260003908200708"/>
    <n v="0.1400004342445231"/>
    <n v="0.1400004342445231"/>
    <n v="0"/>
    <n v="1"/>
  </r>
  <r>
    <n v="70"/>
    <s v="JFM19_Jan_Sprint"/>
    <d v="2019-01-01T00:00:00"/>
    <s v="Bug-5535-ATLAS Node --&gt; Insert table in word poi --&gt; Node inserting table at defined position, but not replacing the given word."/>
    <s v="Sprint rework"/>
    <x v="2"/>
    <n v="4.57"/>
    <n v="6"/>
    <n v="6"/>
    <s v="Completed"/>
    <n v="0.84000260546713856"/>
    <n v="0.1400004342445231"/>
    <n v="0.1400004342445231"/>
    <n v="0"/>
    <n v="1"/>
  </r>
  <r>
    <n v="104"/>
    <s v="JFM19_Jan_Sprint"/>
    <d v="2019-01-01T00:00:00"/>
    <s v="Bug-5545-Atlas Framework -&gt;Atlas Studio-&gt; Guest user &quot;email notification&quot; does not contain Executed by data and shows &quot;undefined&quot; in the executed by field in the notification mail send."/>
    <s v="Sprint rework"/>
    <x v="28"/>
    <n v="4.57"/>
    <n v="6"/>
    <n v="6"/>
    <s v="Completed"/>
    <n v="0.84000260546713856"/>
    <n v="0.1400004342445231"/>
    <n v="0.1400004342445231"/>
    <n v="0"/>
    <n v="1"/>
  </r>
  <r>
    <n v="113"/>
    <s v="JFM19_Jan_Sprint"/>
    <d v="2019-01-01T00:00:00"/>
    <s v="Bug-5425-ATLAS Single Kit Installation Guide_Page 2 &amp; 4 are empty, needs to be fixed"/>
    <s v="Sprint rework"/>
    <x v="28"/>
    <n v="4.57"/>
    <n v="6"/>
    <n v="6"/>
    <s v="Completed"/>
    <n v="0.84000260546713856"/>
    <n v="0.1400004342445231"/>
    <n v="0.1400004342445231"/>
    <n v="0"/>
    <n v="1"/>
  </r>
  <r>
    <n v="118"/>
    <s v="JFM19_Jan_Sprint"/>
    <d v="2019-01-01T00:00:00"/>
    <s v="Bug-5426-ATLAS Single Kit Installation Guide_Minimum disk size is 100 GB (any specific reason?), I have less than that will it not work"/>
    <s v="Sprint rework"/>
    <x v="28"/>
    <n v="4.57"/>
    <n v="6"/>
    <n v="6"/>
    <s v="Completed"/>
    <n v="0.84000260546713856"/>
    <n v="0.1400004342445231"/>
    <n v="0.1400004342445231"/>
    <n v="0"/>
    <n v="1"/>
  </r>
  <r>
    <n v="119"/>
    <s v="JFM19_Jan_Sprint"/>
    <d v="2019-01-01T00:00:00"/>
    <s v="Bug-5429-installing PostgreSQL_Appendix only has SVN location but no web link, it should be provided"/>
    <s v="Sprint rework"/>
    <x v="28"/>
    <n v="4.57"/>
    <n v="6"/>
    <n v="6"/>
    <s v="Completed"/>
    <n v="0.84000260546713856"/>
    <n v="0.1400004342445231"/>
    <n v="0.1400004342445231"/>
    <n v="0"/>
    <n v="1"/>
  </r>
  <r>
    <n v="32"/>
    <s v="JFM19_Jan_Sprint"/>
    <d v="2019-01-01T00:00:00"/>
    <s v="Bug-5433-Installing PostgreSQL_0.6 help document points to wrong url which contains Beta2 kit. Needs to update."/>
    <s v="Sprint rework"/>
    <x v="28"/>
    <n v="4.57"/>
    <n v="6"/>
    <n v="6"/>
    <s v="Completed"/>
    <n v="0.84000260546713856"/>
    <n v="0.1400004342445231"/>
    <n v="0.1400004342445231"/>
    <n v="0"/>
    <n v="1"/>
  </r>
  <r>
    <n v="46"/>
    <m/>
    <m/>
    <m/>
    <m/>
    <x v="29"/>
    <s v=""/>
    <m/>
    <m/>
    <m/>
    <s v=""/>
    <s v=""/>
    <s v=""/>
    <s v=""/>
    <s v=""/>
  </r>
  <r>
    <n v="48"/>
    <m/>
    <m/>
    <m/>
    <m/>
    <x v="29"/>
    <s v=""/>
    <m/>
    <m/>
    <m/>
    <s v=""/>
    <s v=""/>
    <s v=""/>
    <s v=""/>
    <s v=""/>
  </r>
  <r>
    <n v="66"/>
    <m/>
    <m/>
    <m/>
    <m/>
    <x v="29"/>
    <s v=""/>
    <m/>
    <m/>
    <m/>
    <s v=""/>
    <s v=""/>
    <s v=""/>
    <s v=""/>
    <s v=""/>
  </r>
  <r>
    <n v="97"/>
    <m/>
    <m/>
    <m/>
    <m/>
    <x v="29"/>
    <s v=""/>
    <m/>
    <m/>
    <m/>
    <s v=""/>
    <s v=""/>
    <s v=""/>
    <s v=""/>
    <s v=""/>
  </r>
  <r>
    <n v="115"/>
    <m/>
    <m/>
    <m/>
    <m/>
    <x v="29"/>
    <s v=""/>
    <m/>
    <m/>
    <m/>
    <s v=""/>
    <s v=""/>
    <s v=""/>
    <s v=""/>
    <s v=""/>
  </r>
  <r>
    <n v="59"/>
    <m/>
    <m/>
    <m/>
    <m/>
    <x v="29"/>
    <s v=""/>
    <m/>
    <m/>
    <m/>
    <s v=""/>
    <s v=""/>
    <s v=""/>
    <s v=""/>
    <s v=""/>
  </r>
  <r>
    <n v="108"/>
    <m/>
    <m/>
    <m/>
    <m/>
    <x v="29"/>
    <s v=""/>
    <m/>
    <m/>
    <m/>
    <s v=""/>
    <s v=""/>
    <s v=""/>
    <s v=""/>
    <s v=""/>
  </r>
  <r>
    <n v="111"/>
    <m/>
    <m/>
    <m/>
    <m/>
    <x v="29"/>
    <s v=""/>
    <m/>
    <m/>
    <m/>
    <s v=""/>
    <s v=""/>
    <s v=""/>
    <s v=""/>
    <s v=""/>
  </r>
  <r>
    <m/>
    <m/>
    <m/>
    <m/>
    <m/>
    <x v="29"/>
    <s v=""/>
    <m/>
    <m/>
    <m/>
    <s v=""/>
    <s v=""/>
    <s v=""/>
    <s v=""/>
    <s v=""/>
  </r>
  <r>
    <n v="6"/>
    <m/>
    <m/>
    <m/>
    <m/>
    <x v="29"/>
    <s v=""/>
    <m/>
    <m/>
    <m/>
    <s v=""/>
    <s v=""/>
    <s v=""/>
    <s v=""/>
    <s v=""/>
  </r>
  <r>
    <n v="17"/>
    <m/>
    <m/>
    <m/>
    <m/>
    <x v="29"/>
    <s v=""/>
    <m/>
    <m/>
    <m/>
    <s v=""/>
    <s v=""/>
    <s v=""/>
    <s v=""/>
    <s v=""/>
  </r>
  <r>
    <n v="24"/>
    <m/>
    <m/>
    <m/>
    <m/>
    <x v="29"/>
    <s v=""/>
    <m/>
    <m/>
    <m/>
    <s v=""/>
    <s v=""/>
    <s v=""/>
    <s v=""/>
    <s v=""/>
  </r>
  <r>
    <n v="34"/>
    <m/>
    <m/>
    <m/>
    <m/>
    <x v="29"/>
    <s v=""/>
    <m/>
    <m/>
    <m/>
    <s v=""/>
    <s v=""/>
    <s v=""/>
    <s v=""/>
    <s v=""/>
  </r>
  <r>
    <n v="47"/>
    <m/>
    <m/>
    <m/>
    <m/>
    <x v="29"/>
    <s v=""/>
    <m/>
    <m/>
    <m/>
    <s v=""/>
    <s v=""/>
    <s v=""/>
    <s v=""/>
    <s v=""/>
  </r>
  <r>
    <n v="3"/>
    <m/>
    <m/>
    <m/>
    <m/>
    <x v="29"/>
    <s v=""/>
    <m/>
    <m/>
    <m/>
    <s v=""/>
    <s v=""/>
    <s v=""/>
    <s v=""/>
    <s v=""/>
  </r>
  <r>
    <n v="14"/>
    <m/>
    <m/>
    <m/>
    <m/>
    <x v="29"/>
    <s v=""/>
    <m/>
    <m/>
    <m/>
    <s v=""/>
    <s v=""/>
    <s v=""/>
    <s v=""/>
    <s v=""/>
  </r>
  <r>
    <n v="21"/>
    <m/>
    <m/>
    <m/>
    <m/>
    <x v="29"/>
    <s v=""/>
    <m/>
    <m/>
    <m/>
    <s v=""/>
    <s v=""/>
    <s v=""/>
    <s v=""/>
    <s v=""/>
  </r>
  <r>
    <n v="30"/>
    <m/>
    <m/>
    <m/>
    <m/>
    <x v="29"/>
    <s v=""/>
    <m/>
    <m/>
    <m/>
    <s v=""/>
    <s v=""/>
    <s v=""/>
    <s v=""/>
    <s v=""/>
  </r>
  <r>
    <n v="45"/>
    <m/>
    <m/>
    <m/>
    <m/>
    <x v="29"/>
    <s v=""/>
    <m/>
    <m/>
    <m/>
    <s v=""/>
    <s v=""/>
    <s v=""/>
    <s v=""/>
    <s v=""/>
  </r>
  <r>
    <n v="78"/>
    <m/>
    <m/>
    <m/>
    <m/>
    <x v="29"/>
    <s v=""/>
    <m/>
    <m/>
    <m/>
    <s v=""/>
    <s v=""/>
    <s v=""/>
    <s v=""/>
    <s v=""/>
  </r>
  <r>
    <n v="91"/>
    <m/>
    <m/>
    <m/>
    <m/>
    <x v="29"/>
    <s v=""/>
    <m/>
    <m/>
    <m/>
    <s v=""/>
    <s v=""/>
    <s v=""/>
    <s v=""/>
    <s v=""/>
  </r>
  <r>
    <n v="7"/>
    <m/>
    <m/>
    <m/>
    <m/>
    <x v="29"/>
    <s v=""/>
    <m/>
    <m/>
    <m/>
    <s v=""/>
    <s v=""/>
    <s v=""/>
    <s v=""/>
    <s v=""/>
  </r>
  <r>
    <n v="18"/>
    <m/>
    <m/>
    <m/>
    <m/>
    <x v="29"/>
    <s v=""/>
    <m/>
    <m/>
    <m/>
    <s v=""/>
    <s v=""/>
    <s v=""/>
    <s v=""/>
    <s v=""/>
  </r>
  <r>
    <n v="25"/>
    <m/>
    <m/>
    <m/>
    <m/>
    <x v="29"/>
    <e v="#REF!"/>
    <m/>
    <m/>
    <m/>
    <e v="#REF!"/>
    <s v=""/>
    <s v=""/>
    <s v=""/>
    <s v=""/>
  </r>
  <r>
    <n v="26"/>
    <m/>
    <m/>
    <m/>
    <m/>
    <x v="29"/>
    <s v=""/>
    <m/>
    <m/>
    <m/>
    <s v=""/>
    <s v=""/>
    <s v=""/>
    <s v=""/>
    <s v=""/>
  </r>
  <r>
    <n v="35"/>
    <m/>
    <m/>
    <m/>
    <m/>
    <x v="29"/>
    <s v=""/>
    <m/>
    <m/>
    <m/>
    <s v=""/>
    <s v=""/>
    <s v=""/>
    <s v=""/>
    <s v=""/>
  </r>
  <r>
    <n v="51"/>
    <m/>
    <m/>
    <m/>
    <m/>
    <x v="29"/>
    <s v=""/>
    <m/>
    <m/>
    <m/>
    <s v=""/>
    <s v=""/>
    <s v=""/>
    <s v=""/>
    <s v=""/>
  </r>
  <r>
    <n v="52"/>
    <m/>
    <m/>
    <m/>
    <m/>
    <x v="29"/>
    <s v=""/>
    <m/>
    <m/>
    <m/>
    <s v=""/>
    <s v=""/>
    <s v=""/>
    <s v=""/>
    <s v=""/>
  </r>
  <r>
    <n v="46"/>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m/>
    <m/>
    <m/>
    <m/>
    <m/>
    <x v="29"/>
    <s v=""/>
    <m/>
    <m/>
    <m/>
    <s v=""/>
    <s v=""/>
    <s v=""/>
    <s v=""/>
    <s v=""/>
  </r>
  <r>
    <n v="36"/>
    <m/>
    <m/>
    <m/>
    <m/>
    <x v="29"/>
    <m/>
    <m/>
    <m/>
    <m/>
    <m/>
    <m/>
    <m/>
    <m/>
    <m/>
  </r>
  <r>
    <n v="37"/>
    <m/>
    <m/>
    <m/>
    <m/>
    <x v="29"/>
    <m/>
    <m/>
    <m/>
    <m/>
    <m/>
    <m/>
    <m/>
    <m/>
    <m/>
  </r>
  <r>
    <n v="38"/>
    <m/>
    <m/>
    <m/>
    <m/>
    <x v="29"/>
    <m/>
    <m/>
    <m/>
    <m/>
    <m/>
    <m/>
    <m/>
    <m/>
    <m/>
  </r>
  <r>
    <n v="39"/>
    <m/>
    <m/>
    <m/>
    <m/>
    <x v="29"/>
    <m/>
    <m/>
    <m/>
    <m/>
    <m/>
    <m/>
    <m/>
    <m/>
    <m/>
  </r>
  <r>
    <n v="40"/>
    <m/>
    <m/>
    <m/>
    <m/>
    <x v="29"/>
    <m/>
    <m/>
    <m/>
    <m/>
    <m/>
    <m/>
    <m/>
    <m/>
    <m/>
  </r>
  <r>
    <n v="41"/>
    <m/>
    <m/>
    <m/>
    <m/>
    <x v="29"/>
    <m/>
    <m/>
    <m/>
    <m/>
    <m/>
    <m/>
    <m/>
    <m/>
    <m/>
  </r>
  <r>
    <n v="42"/>
    <m/>
    <m/>
    <m/>
    <m/>
    <x v="29"/>
    <m/>
    <m/>
    <m/>
    <m/>
    <m/>
    <m/>
    <m/>
    <m/>
    <m/>
  </r>
  <r>
    <n v="43"/>
    <m/>
    <m/>
    <m/>
    <m/>
    <x v="29"/>
    <m/>
    <m/>
    <m/>
    <m/>
    <m/>
    <m/>
    <m/>
    <m/>
    <m/>
  </r>
  <r>
    <n v="44"/>
    <m/>
    <m/>
    <m/>
    <m/>
    <x v="29"/>
    <m/>
    <m/>
    <m/>
    <m/>
    <m/>
    <m/>
    <m/>
    <m/>
    <m/>
  </r>
  <r>
    <n v="45"/>
    <m/>
    <m/>
    <m/>
    <m/>
    <x v="29"/>
    <m/>
    <m/>
    <m/>
    <m/>
    <m/>
    <m/>
    <m/>
    <m/>
    <m/>
  </r>
  <r>
    <n v="47"/>
    <m/>
    <m/>
    <m/>
    <m/>
    <x v="29"/>
    <m/>
    <m/>
    <m/>
    <m/>
    <m/>
    <m/>
    <m/>
    <m/>
    <m/>
  </r>
  <r>
    <n v="48"/>
    <m/>
    <m/>
    <m/>
    <m/>
    <x v="29"/>
    <m/>
    <m/>
    <m/>
    <m/>
    <m/>
    <m/>
    <m/>
    <m/>
    <m/>
  </r>
  <r>
    <n v="49"/>
    <m/>
    <m/>
    <m/>
    <m/>
    <x v="29"/>
    <m/>
    <m/>
    <m/>
    <m/>
    <m/>
    <m/>
    <m/>
    <m/>
    <m/>
  </r>
  <r>
    <n v="50"/>
    <m/>
    <m/>
    <m/>
    <m/>
    <x v="29"/>
    <m/>
    <m/>
    <m/>
    <m/>
    <m/>
    <m/>
    <m/>
    <m/>
    <m/>
  </r>
  <r>
    <n v="51"/>
    <m/>
    <m/>
    <m/>
    <m/>
    <x v="29"/>
    <m/>
    <m/>
    <m/>
    <m/>
    <m/>
    <m/>
    <m/>
    <m/>
    <m/>
  </r>
  <r>
    <n v="52"/>
    <m/>
    <m/>
    <m/>
    <m/>
    <x v="29"/>
    <m/>
    <m/>
    <m/>
    <m/>
    <m/>
    <m/>
    <m/>
    <m/>
    <m/>
  </r>
  <r>
    <n v="53"/>
    <m/>
    <m/>
    <m/>
    <m/>
    <x v="29"/>
    <m/>
    <m/>
    <m/>
    <m/>
    <m/>
    <m/>
    <m/>
    <m/>
    <m/>
  </r>
  <r>
    <n v="54"/>
    <m/>
    <m/>
    <m/>
    <m/>
    <x v="29"/>
    <m/>
    <m/>
    <m/>
    <m/>
    <m/>
    <m/>
    <m/>
    <m/>
    <m/>
  </r>
  <r>
    <n v="55"/>
    <m/>
    <m/>
    <m/>
    <m/>
    <x v="29"/>
    <m/>
    <m/>
    <m/>
    <m/>
    <m/>
    <m/>
    <m/>
    <m/>
    <m/>
  </r>
  <r>
    <n v="56"/>
    <m/>
    <m/>
    <m/>
    <m/>
    <x v="29"/>
    <m/>
    <m/>
    <m/>
    <m/>
    <m/>
    <m/>
    <m/>
    <m/>
    <m/>
  </r>
  <r>
    <n v="57"/>
    <m/>
    <m/>
    <m/>
    <m/>
    <x v="29"/>
    <m/>
    <m/>
    <m/>
    <m/>
    <m/>
    <m/>
    <m/>
    <m/>
    <m/>
  </r>
  <r>
    <n v="58"/>
    <m/>
    <m/>
    <m/>
    <m/>
    <x v="29"/>
    <m/>
    <m/>
    <m/>
    <m/>
    <m/>
    <m/>
    <m/>
    <m/>
    <m/>
  </r>
  <r>
    <n v="59"/>
    <m/>
    <m/>
    <m/>
    <m/>
    <x v="29"/>
    <m/>
    <m/>
    <m/>
    <m/>
    <m/>
    <m/>
    <m/>
    <m/>
    <m/>
  </r>
  <r>
    <n v="60"/>
    <m/>
    <m/>
    <m/>
    <m/>
    <x v="29"/>
    <m/>
    <m/>
    <m/>
    <m/>
    <m/>
    <m/>
    <m/>
    <m/>
    <m/>
  </r>
  <r>
    <n v="61"/>
    <m/>
    <m/>
    <m/>
    <m/>
    <x v="29"/>
    <m/>
    <m/>
    <m/>
    <m/>
    <m/>
    <m/>
    <m/>
    <m/>
    <m/>
  </r>
  <r>
    <n v="62"/>
    <m/>
    <m/>
    <m/>
    <m/>
    <x v="29"/>
    <m/>
    <m/>
    <m/>
    <m/>
    <m/>
    <m/>
    <m/>
    <m/>
    <m/>
  </r>
  <r>
    <n v="63"/>
    <m/>
    <m/>
    <m/>
    <m/>
    <x v="29"/>
    <m/>
    <m/>
    <m/>
    <m/>
    <m/>
    <m/>
    <m/>
    <m/>
    <m/>
  </r>
  <r>
    <n v="64"/>
    <m/>
    <m/>
    <m/>
    <m/>
    <x v="29"/>
    <m/>
    <m/>
    <m/>
    <m/>
    <m/>
    <m/>
    <m/>
    <m/>
    <m/>
  </r>
  <r>
    <n v="65"/>
    <m/>
    <m/>
    <m/>
    <m/>
    <x v="29"/>
    <m/>
    <m/>
    <m/>
    <m/>
    <m/>
    <m/>
    <m/>
    <m/>
    <m/>
  </r>
  <r>
    <n v="66"/>
    <m/>
    <m/>
    <m/>
    <m/>
    <x v="29"/>
    <m/>
    <m/>
    <m/>
    <m/>
    <m/>
    <m/>
    <m/>
    <m/>
    <m/>
  </r>
  <r>
    <n v="67"/>
    <m/>
    <m/>
    <m/>
    <m/>
    <x v="29"/>
    <m/>
    <m/>
    <m/>
    <m/>
    <m/>
    <m/>
    <m/>
    <m/>
    <m/>
  </r>
  <r>
    <n v="68"/>
    <m/>
    <m/>
    <m/>
    <m/>
    <x v="29"/>
    <m/>
    <m/>
    <m/>
    <m/>
    <m/>
    <m/>
    <m/>
    <m/>
    <m/>
  </r>
  <r>
    <n v="69"/>
    <m/>
    <m/>
    <m/>
    <m/>
    <x v="29"/>
    <m/>
    <m/>
    <m/>
    <m/>
    <m/>
    <m/>
    <m/>
    <m/>
    <m/>
  </r>
  <r>
    <n v="70"/>
    <m/>
    <m/>
    <m/>
    <m/>
    <x v="29"/>
    <m/>
    <m/>
    <m/>
    <m/>
    <m/>
    <m/>
    <m/>
    <m/>
    <m/>
  </r>
  <r>
    <n v="71"/>
    <m/>
    <m/>
    <m/>
    <m/>
    <x v="29"/>
    <m/>
    <m/>
    <m/>
    <m/>
    <m/>
    <m/>
    <m/>
    <m/>
    <m/>
  </r>
  <r>
    <n v="72"/>
    <m/>
    <m/>
    <m/>
    <m/>
    <x v="29"/>
    <m/>
    <m/>
    <m/>
    <m/>
    <m/>
    <m/>
    <m/>
    <m/>
    <m/>
  </r>
  <r>
    <n v="73"/>
    <m/>
    <m/>
    <m/>
    <m/>
    <x v="29"/>
    <m/>
    <m/>
    <m/>
    <m/>
    <m/>
    <m/>
    <m/>
    <m/>
    <m/>
  </r>
  <r>
    <n v="74"/>
    <m/>
    <m/>
    <m/>
    <m/>
    <x v="29"/>
    <m/>
    <m/>
    <m/>
    <m/>
    <m/>
    <m/>
    <m/>
    <m/>
    <m/>
  </r>
  <r>
    <n v="75"/>
    <m/>
    <m/>
    <m/>
    <m/>
    <x v="29"/>
    <m/>
    <m/>
    <m/>
    <m/>
    <m/>
    <m/>
    <m/>
    <m/>
    <m/>
  </r>
  <r>
    <n v="76"/>
    <m/>
    <m/>
    <m/>
    <m/>
    <x v="29"/>
    <m/>
    <m/>
    <m/>
    <m/>
    <m/>
    <m/>
    <m/>
    <m/>
    <m/>
  </r>
  <r>
    <n v="77"/>
    <m/>
    <m/>
    <m/>
    <m/>
    <x v="29"/>
    <m/>
    <m/>
    <m/>
    <m/>
    <m/>
    <m/>
    <m/>
    <m/>
    <m/>
  </r>
  <r>
    <n v="78"/>
    <m/>
    <m/>
    <m/>
    <m/>
    <x v="29"/>
    <m/>
    <m/>
    <m/>
    <m/>
    <m/>
    <m/>
    <m/>
    <m/>
    <m/>
  </r>
  <r>
    <n v="79"/>
    <m/>
    <m/>
    <m/>
    <m/>
    <x v="29"/>
    <m/>
    <m/>
    <m/>
    <m/>
    <m/>
    <m/>
    <m/>
    <m/>
    <m/>
  </r>
  <r>
    <n v="80"/>
    <m/>
    <m/>
    <m/>
    <m/>
    <x v="29"/>
    <m/>
    <m/>
    <m/>
    <m/>
    <m/>
    <m/>
    <m/>
    <m/>
    <m/>
  </r>
  <r>
    <n v="81"/>
    <m/>
    <m/>
    <m/>
    <m/>
    <x v="29"/>
    <m/>
    <m/>
    <m/>
    <m/>
    <m/>
    <m/>
    <m/>
    <m/>
    <m/>
  </r>
  <r>
    <n v="82"/>
    <m/>
    <m/>
    <m/>
    <m/>
    <x v="29"/>
    <m/>
    <m/>
    <m/>
    <m/>
    <m/>
    <m/>
    <m/>
    <m/>
    <m/>
  </r>
  <r>
    <n v="83"/>
    <m/>
    <m/>
    <m/>
    <m/>
    <x v="29"/>
    <m/>
    <m/>
    <m/>
    <m/>
    <m/>
    <m/>
    <m/>
    <m/>
    <m/>
  </r>
  <r>
    <n v="84"/>
    <m/>
    <m/>
    <m/>
    <m/>
    <x v="29"/>
    <m/>
    <m/>
    <m/>
    <m/>
    <m/>
    <m/>
    <m/>
    <m/>
    <m/>
  </r>
  <r>
    <n v="85"/>
    <m/>
    <m/>
    <m/>
    <m/>
    <x v="29"/>
    <m/>
    <m/>
    <m/>
    <m/>
    <m/>
    <m/>
    <m/>
    <m/>
    <m/>
  </r>
  <r>
    <n v="86"/>
    <m/>
    <m/>
    <m/>
    <m/>
    <x v="29"/>
    <m/>
    <m/>
    <m/>
    <m/>
    <m/>
    <m/>
    <m/>
    <m/>
    <m/>
  </r>
  <r>
    <n v="87"/>
    <m/>
    <m/>
    <m/>
    <m/>
    <x v="29"/>
    <m/>
    <m/>
    <m/>
    <m/>
    <m/>
    <m/>
    <m/>
    <m/>
    <m/>
  </r>
  <r>
    <n v="88"/>
    <m/>
    <m/>
    <m/>
    <m/>
    <x v="29"/>
    <m/>
    <m/>
    <m/>
    <m/>
    <m/>
    <m/>
    <m/>
    <m/>
    <m/>
  </r>
  <r>
    <n v="89"/>
    <m/>
    <m/>
    <m/>
    <m/>
    <x v="29"/>
    <m/>
    <m/>
    <m/>
    <m/>
    <m/>
    <m/>
    <m/>
    <m/>
    <m/>
  </r>
  <r>
    <n v="90"/>
    <m/>
    <m/>
    <m/>
    <m/>
    <x v="29"/>
    <m/>
    <m/>
    <m/>
    <m/>
    <m/>
    <m/>
    <m/>
    <m/>
    <m/>
  </r>
  <r>
    <n v="91"/>
    <m/>
    <m/>
    <m/>
    <m/>
    <x v="29"/>
    <m/>
    <m/>
    <m/>
    <m/>
    <m/>
    <m/>
    <m/>
    <m/>
    <m/>
  </r>
  <r>
    <n v="92"/>
    <m/>
    <m/>
    <m/>
    <m/>
    <x v="29"/>
    <m/>
    <m/>
    <m/>
    <m/>
    <m/>
    <m/>
    <m/>
    <m/>
    <m/>
  </r>
  <r>
    <n v="93"/>
    <m/>
    <m/>
    <m/>
    <m/>
    <x v="29"/>
    <m/>
    <m/>
    <m/>
    <m/>
    <m/>
    <m/>
    <m/>
    <m/>
    <m/>
  </r>
  <r>
    <n v="94"/>
    <m/>
    <m/>
    <m/>
    <m/>
    <x v="29"/>
    <m/>
    <m/>
    <m/>
    <m/>
    <m/>
    <m/>
    <m/>
    <m/>
    <m/>
  </r>
  <r>
    <n v="95"/>
    <m/>
    <m/>
    <m/>
    <m/>
    <x v="29"/>
    <m/>
    <m/>
    <m/>
    <m/>
    <m/>
    <m/>
    <m/>
    <m/>
    <m/>
  </r>
  <r>
    <n v="96"/>
    <m/>
    <m/>
    <m/>
    <m/>
    <x v="29"/>
    <m/>
    <m/>
    <m/>
    <m/>
    <m/>
    <m/>
    <m/>
    <m/>
    <m/>
  </r>
  <r>
    <n v="97"/>
    <m/>
    <m/>
    <m/>
    <m/>
    <x v="29"/>
    <m/>
    <m/>
    <m/>
    <m/>
    <m/>
    <m/>
    <m/>
    <m/>
    <m/>
  </r>
  <r>
    <n v="98"/>
    <m/>
    <m/>
    <m/>
    <m/>
    <x v="29"/>
    <m/>
    <m/>
    <m/>
    <m/>
    <m/>
    <m/>
    <m/>
    <m/>
    <m/>
  </r>
  <r>
    <n v="99"/>
    <m/>
    <m/>
    <m/>
    <m/>
    <x v="29"/>
    <m/>
    <m/>
    <m/>
    <m/>
    <m/>
    <m/>
    <m/>
    <m/>
    <m/>
  </r>
  <r>
    <n v="100"/>
    <m/>
    <m/>
    <m/>
    <m/>
    <x v="29"/>
    <m/>
    <m/>
    <m/>
    <m/>
    <m/>
    <m/>
    <m/>
    <m/>
    <m/>
  </r>
  <r>
    <n v="101"/>
    <m/>
    <m/>
    <m/>
    <m/>
    <x v="29"/>
    <m/>
    <m/>
    <m/>
    <m/>
    <m/>
    <m/>
    <m/>
    <m/>
    <m/>
  </r>
  <r>
    <n v="102"/>
    <m/>
    <m/>
    <m/>
    <m/>
    <x v="29"/>
    <m/>
    <m/>
    <m/>
    <m/>
    <m/>
    <m/>
    <m/>
    <m/>
    <m/>
  </r>
  <r>
    <n v="103"/>
    <m/>
    <m/>
    <m/>
    <m/>
    <x v="29"/>
    <m/>
    <m/>
    <m/>
    <m/>
    <m/>
    <m/>
    <m/>
    <m/>
    <m/>
  </r>
  <r>
    <n v="104"/>
    <m/>
    <m/>
    <m/>
    <m/>
    <x v="29"/>
    <m/>
    <m/>
    <m/>
    <m/>
    <m/>
    <m/>
    <m/>
    <m/>
    <m/>
  </r>
  <r>
    <n v="105"/>
    <m/>
    <m/>
    <m/>
    <m/>
    <x v="29"/>
    <m/>
    <m/>
    <m/>
    <m/>
    <m/>
    <m/>
    <m/>
    <m/>
    <m/>
  </r>
  <r>
    <n v="106"/>
    <m/>
    <m/>
    <m/>
    <m/>
    <x v="29"/>
    <m/>
    <m/>
    <m/>
    <m/>
    <m/>
    <m/>
    <m/>
    <m/>
    <m/>
  </r>
  <r>
    <n v="107"/>
    <m/>
    <m/>
    <m/>
    <m/>
    <x v="29"/>
    <m/>
    <m/>
    <m/>
    <m/>
    <m/>
    <m/>
    <m/>
    <m/>
    <m/>
  </r>
  <r>
    <n v="108"/>
    <m/>
    <m/>
    <m/>
    <m/>
    <x v="29"/>
    <m/>
    <m/>
    <m/>
    <m/>
    <m/>
    <m/>
    <m/>
    <m/>
    <m/>
  </r>
  <r>
    <n v="109"/>
    <m/>
    <m/>
    <m/>
    <m/>
    <x v="29"/>
    <m/>
    <m/>
    <m/>
    <m/>
    <m/>
    <m/>
    <m/>
    <m/>
    <m/>
  </r>
  <r>
    <n v="110"/>
    <m/>
    <m/>
    <m/>
    <m/>
    <x v="29"/>
    <m/>
    <m/>
    <m/>
    <m/>
    <m/>
    <m/>
    <m/>
    <m/>
    <m/>
  </r>
  <r>
    <n v="111"/>
    <m/>
    <m/>
    <m/>
    <m/>
    <x v="29"/>
    <m/>
    <m/>
    <m/>
    <m/>
    <m/>
    <m/>
    <m/>
    <m/>
    <m/>
  </r>
  <r>
    <n v="112"/>
    <m/>
    <m/>
    <m/>
    <m/>
    <x v="29"/>
    <m/>
    <m/>
    <m/>
    <m/>
    <m/>
    <m/>
    <m/>
    <m/>
    <m/>
  </r>
  <r>
    <n v="113"/>
    <m/>
    <m/>
    <m/>
    <m/>
    <x v="29"/>
    <m/>
    <m/>
    <m/>
    <m/>
    <m/>
    <m/>
    <m/>
    <m/>
    <m/>
  </r>
  <r>
    <n v="114"/>
    <m/>
    <m/>
    <m/>
    <m/>
    <x v="29"/>
    <m/>
    <m/>
    <m/>
    <m/>
    <m/>
    <m/>
    <m/>
    <m/>
    <m/>
  </r>
  <r>
    <n v="115"/>
    <m/>
    <m/>
    <m/>
    <m/>
    <x v="29"/>
    <m/>
    <m/>
    <m/>
    <m/>
    <m/>
    <m/>
    <m/>
    <m/>
    <m/>
  </r>
  <r>
    <n v="116"/>
    <m/>
    <m/>
    <m/>
    <m/>
    <x v="29"/>
    <m/>
    <m/>
    <m/>
    <m/>
    <m/>
    <m/>
    <m/>
    <m/>
    <m/>
  </r>
  <r>
    <n v="117"/>
    <m/>
    <m/>
    <m/>
    <m/>
    <x v="29"/>
    <m/>
    <m/>
    <m/>
    <m/>
    <m/>
    <m/>
    <m/>
    <m/>
    <m/>
  </r>
  <r>
    <n v="118"/>
    <m/>
    <m/>
    <m/>
    <m/>
    <x v="29"/>
    <m/>
    <m/>
    <m/>
    <m/>
    <m/>
    <m/>
    <m/>
    <m/>
    <m/>
  </r>
  <r>
    <m/>
    <m/>
    <m/>
    <m/>
    <m/>
    <x v="29"/>
    <m/>
    <m/>
    <m/>
    <m/>
    <m/>
    <m/>
    <m/>
    <m/>
    <m/>
  </r>
  <r>
    <m/>
    <m/>
    <m/>
    <m/>
    <m/>
    <x v="29"/>
    <m/>
    <m/>
    <m/>
    <m/>
    <m/>
    <m/>
    <m/>
    <m/>
    <m/>
  </r>
  <r>
    <m/>
    <m/>
    <m/>
    <m/>
    <m/>
    <x v="29"/>
    <m/>
    <m/>
    <m/>
    <m/>
    <m/>
    <m/>
    <m/>
    <m/>
    <m/>
  </r>
  <r>
    <m/>
    <m/>
    <m/>
    <m/>
    <m/>
    <x v="29"/>
    <m/>
    <m/>
    <m/>
    <m/>
    <m/>
    <m/>
    <m/>
    <m/>
    <m/>
  </r>
  <r>
    <m/>
    <m/>
    <m/>
    <m/>
    <m/>
    <x v="29"/>
    <m/>
    <m/>
    <m/>
    <m/>
    <m/>
    <m/>
    <m/>
    <m/>
    <m/>
  </r>
  <r>
    <m/>
    <m/>
    <m/>
    <m/>
    <m/>
    <x v="29"/>
    <m/>
    <m/>
    <m/>
    <m/>
    <m/>
    <m/>
    <m/>
    <m/>
    <m/>
  </r>
  <r>
    <m/>
    <m/>
    <m/>
    <m/>
    <m/>
    <x v="29"/>
    <m/>
    <m/>
    <m/>
    <m/>
    <m/>
    <m/>
    <m/>
    <m/>
    <m/>
  </r>
  <r>
    <m/>
    <m/>
    <m/>
    <m/>
    <m/>
    <x v="29"/>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ILP_Dashboard_1" cacheId="10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A198:AC229" firstHeaderRow="0" firstDataRow="1" firstDataCol="1"/>
  <pivotFields count="16">
    <pivotField showAll="0" defaultSubtotal="0"/>
    <pivotField showAll="0" defaultSubtotal="0">
      <items count="9">
        <item m="1" x="8"/>
        <item x="5"/>
        <item x="0"/>
        <item x="1"/>
        <item x="3"/>
        <item m="1" x="6"/>
        <item x="4"/>
        <item m="1" x="7"/>
        <item x="2"/>
      </items>
    </pivotField>
    <pivotField showAll="0" defaultSubtotal="0">
      <items count="4">
        <item x="0"/>
        <item x="1"/>
        <item m="1" x="3"/>
        <item x="2"/>
      </items>
    </pivotField>
    <pivotField showAll="0" defaultSubtotal="0"/>
    <pivotField showAll="0" defaultSubtotal="0">
      <items count="50">
        <item m="1" x="35"/>
        <item x="0"/>
        <item x="26"/>
        <item m="1" x="39"/>
        <item x="11"/>
        <item m="1" x="36"/>
        <item x="27"/>
        <item x="28"/>
        <item x="30"/>
        <item x="29"/>
        <item x="12"/>
        <item x="25"/>
        <item x="24"/>
        <item x="3"/>
        <item x="5"/>
        <item x="33"/>
        <item x="31"/>
        <item x="32"/>
        <item x="34"/>
        <item m="1" x="40"/>
        <item x="4"/>
        <item m="1" x="43"/>
        <item m="1" x="38"/>
        <item m="1" x="37"/>
        <item x="9"/>
        <item m="1" x="41"/>
        <item x="7"/>
        <item x="6"/>
        <item m="1" x="45"/>
        <item x="10"/>
        <item x="21"/>
        <item m="1" x="42"/>
        <item m="1" x="47"/>
        <item x="1"/>
        <item x="2"/>
        <item m="1" x="49"/>
        <item m="1" x="48"/>
        <item m="1" x="44"/>
        <item x="19"/>
        <item m="1" x="46"/>
        <item x="22"/>
        <item x="16"/>
        <item x="20"/>
        <item x="15"/>
        <item x="14"/>
        <item x="23"/>
        <item x="17"/>
        <item x="13"/>
        <item x="18"/>
        <item x="8"/>
      </items>
    </pivotField>
    <pivotField axis="axisRow" showAll="0" defaultSubtotal="0">
      <items count="54">
        <item m="1" x="37"/>
        <item m="1" x="46"/>
        <item m="1" x="39"/>
        <item h="1" x="10"/>
        <item x="11"/>
        <item x="25"/>
        <item x="9"/>
        <item x="12"/>
        <item x="0"/>
        <item x="1"/>
        <item x="2"/>
        <item x="3"/>
        <item x="4"/>
        <item x="5"/>
        <item x="8"/>
        <item x="6"/>
        <item x="7"/>
        <item x="13"/>
        <item x="14"/>
        <item x="16"/>
        <item x="17"/>
        <item x="15"/>
        <item x="18"/>
        <item x="20"/>
        <item x="19"/>
        <item x="29"/>
        <item x="21"/>
        <item x="22"/>
        <item x="23"/>
        <item x="24"/>
        <item x="28"/>
        <item x="30"/>
        <item x="26"/>
        <item x="27"/>
        <item m="1" x="41"/>
        <item m="1" x="49"/>
        <item m="1" x="34"/>
        <item m="1" x="44"/>
        <item m="1" x="40"/>
        <item m="1" x="31"/>
        <item m="1" x="50"/>
        <item m="1" x="38"/>
        <item m="1" x="47"/>
        <item m="1" x="42"/>
        <item m="1" x="52"/>
        <item m="1" x="45"/>
        <item m="1" x="33"/>
        <item m="1" x="35"/>
        <item m="1" x="48"/>
        <item m="1" x="51"/>
        <item m="1" x="53"/>
        <item m="1" x="36"/>
        <item m="1" x="32"/>
        <item m="1" x="4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s>
  <rowFields count="1">
    <field x="5"/>
  </rowFields>
  <rowItems count="31">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Fields count="1">
    <field x="-2"/>
  </colFields>
  <colItems count="2">
    <i>
      <x/>
    </i>
    <i i="1">
      <x v="1"/>
    </i>
  </colItems>
  <dataFields count="2">
    <dataField name="Average of ILP Score" fld="14" subtotal="average" baseField="5" baseItem="0" numFmtId="2"/>
    <dataField name="Average of ILP Goal" fld="15" subtotal="average" baseField="5" baseItem="2"/>
  </dataFields>
  <chartFormats count="2">
    <chartFormat chart="5" format="9" series="1">
      <pivotArea type="data" outline="0" fieldPosition="0">
        <references count="1">
          <reference field="4294967294" count="1" selected="0">
            <x v="0"/>
          </reference>
        </references>
      </pivotArea>
    </chartFormat>
    <chartFormat chart="5" format="10"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5" cacheId="10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L198:AN229" firstHeaderRow="0" firstDataRow="1" firstDataCol="1"/>
  <pivotFields count="16">
    <pivotField showAll="0" defaultSubtotal="0"/>
    <pivotField showAll="0" defaultSubtotal="0">
      <items count="9">
        <item m="1" x="8"/>
        <item x="5"/>
        <item x="0"/>
        <item x="1"/>
        <item x="3"/>
        <item m="1" x="6"/>
        <item x="4"/>
        <item m="1" x="7"/>
        <item x="2"/>
      </items>
    </pivotField>
    <pivotField showAll="0" defaultSubtotal="0">
      <items count="4">
        <item x="0"/>
        <item x="1"/>
        <item m="1" x="3"/>
        <item x="2"/>
      </items>
    </pivotField>
    <pivotField showAll="0" defaultSubtotal="0"/>
    <pivotField showAll="0" defaultSubtotal="0">
      <items count="50">
        <item m="1" x="35"/>
        <item x="0"/>
        <item x="26"/>
        <item m="1" x="39"/>
        <item x="11"/>
        <item m="1" x="36"/>
        <item x="27"/>
        <item x="28"/>
        <item x="30"/>
        <item x="29"/>
        <item x="12"/>
        <item x="25"/>
        <item x="24"/>
        <item x="3"/>
        <item x="5"/>
        <item x="33"/>
        <item x="31"/>
        <item x="32"/>
        <item x="34"/>
        <item m="1" x="40"/>
        <item x="4"/>
        <item m="1" x="43"/>
        <item m="1" x="38"/>
        <item m="1" x="37"/>
        <item x="9"/>
        <item m="1" x="41"/>
        <item x="7"/>
        <item x="6"/>
        <item m="1" x="45"/>
        <item x="10"/>
        <item x="21"/>
        <item m="1" x="42"/>
        <item m="1" x="47"/>
        <item x="1"/>
        <item x="2"/>
        <item m="1" x="49"/>
        <item m="1" x="48"/>
        <item m="1" x="44"/>
        <item x="19"/>
        <item m="1" x="46"/>
        <item x="22"/>
        <item x="16"/>
        <item x="20"/>
        <item x="15"/>
        <item x="14"/>
        <item x="23"/>
        <item x="17"/>
        <item x="13"/>
        <item x="18"/>
        <item x="8"/>
      </items>
    </pivotField>
    <pivotField axis="axisRow" showAll="0" defaultSubtotal="0">
      <items count="54">
        <item m="1" x="37"/>
        <item m="1" x="46"/>
        <item m="1" x="39"/>
        <item h="1" x="10"/>
        <item x="11"/>
        <item x="25"/>
        <item x="9"/>
        <item x="12"/>
        <item x="0"/>
        <item x="1"/>
        <item x="2"/>
        <item x="3"/>
        <item x="4"/>
        <item x="5"/>
        <item x="8"/>
        <item x="6"/>
        <item x="7"/>
        <item x="13"/>
        <item x="14"/>
        <item x="16"/>
        <item x="17"/>
        <item x="15"/>
        <item x="18"/>
        <item x="20"/>
        <item x="19"/>
        <item x="29"/>
        <item x="21"/>
        <item x="22"/>
        <item x="23"/>
        <item x="24"/>
        <item x="28"/>
        <item x="30"/>
        <item x="26"/>
        <item x="27"/>
        <item m="1" x="41"/>
        <item m="1" x="49"/>
        <item m="1" x="34"/>
        <item m="1" x="44"/>
        <item m="1" x="40"/>
        <item m="1" x="31"/>
        <item m="1" x="50"/>
        <item m="1" x="38"/>
        <item m="1" x="47"/>
        <item m="1" x="42"/>
        <item m="1" x="52"/>
        <item m="1" x="45"/>
        <item m="1" x="33"/>
        <item m="1" x="35"/>
        <item m="1" x="48"/>
        <item m="1" x="51"/>
        <item m="1" x="53"/>
        <item m="1" x="36"/>
        <item m="1" x="32"/>
        <item m="1" x="43"/>
      </items>
    </pivotField>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5"/>
  </rowFields>
  <rowItems count="31">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Fields count="1">
    <field x="-2"/>
  </colFields>
  <colItems count="2">
    <i>
      <x/>
    </i>
    <i i="1">
      <x v="1"/>
    </i>
  </colItems>
  <dataFields count="2">
    <dataField name="Sum of Planned effort" fld="7" baseField="5" baseItem="0"/>
    <dataField name="Sum of Actual effort" fld="8"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4" cacheId="10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I198:AJ233" firstHeaderRow="1" firstDataRow="1" firstDataCol="1"/>
  <pivotFields count="16">
    <pivotField showAll="0" defaultSubtotal="0"/>
    <pivotField showAll="0" defaultSubtotal="0">
      <items count="9">
        <item m="1" x="8"/>
        <item x="5"/>
        <item x="0"/>
        <item x="1"/>
        <item x="3"/>
        <item m="1" x="6"/>
        <item x="4"/>
        <item m="1" x="7"/>
        <item x="2"/>
      </items>
    </pivotField>
    <pivotField showAll="0" defaultSubtotal="0">
      <items count="4">
        <item x="0"/>
        <item x="1"/>
        <item m="1" x="3"/>
        <item x="2"/>
      </items>
    </pivotField>
    <pivotField showAll="0" defaultSubtotal="0"/>
    <pivotField axis="axisRow" showAll="0" defaultSubtotal="0">
      <items count="50">
        <item m="1" x="35"/>
        <item m="1" x="39"/>
        <item x="8"/>
        <item m="1" x="47"/>
        <item m="1" x="40"/>
        <item m="1" x="38"/>
        <item m="1" x="44"/>
        <item m="1" x="43"/>
        <item m="1" x="46"/>
        <item m="1" x="41"/>
        <item m="1" x="36"/>
        <item m="1" x="49"/>
        <item m="1" x="48"/>
        <item m="1" x="42"/>
        <item x="0"/>
        <item x="1"/>
        <item x="2"/>
        <item x="3"/>
        <item x="4"/>
        <item x="5"/>
        <item x="6"/>
        <item x="11"/>
        <item x="12"/>
        <item x="13"/>
        <item x="14"/>
        <item x="15"/>
        <item x="16"/>
        <item x="17"/>
        <item x="18"/>
        <item x="19"/>
        <item x="20"/>
        <item x="21"/>
        <item x="22"/>
        <item x="23"/>
        <item x="24"/>
        <item x="25"/>
        <item x="26"/>
        <item x="27"/>
        <item x="28"/>
        <item x="29"/>
        <item x="30"/>
        <item x="31"/>
        <item x="32"/>
        <item x="33"/>
        <item x="34"/>
        <item x="7"/>
        <item m="1" x="45"/>
        <item m="1" x="37"/>
        <item x="9"/>
        <item x="10"/>
      </items>
    </pivotField>
    <pivotField showAll="0" defaultSubtotal="0">
      <items count="54">
        <item m="1" x="42"/>
        <item m="1" x="36"/>
        <item x="29"/>
        <item x="20"/>
        <item x="14"/>
        <item x="9"/>
        <item m="1" x="40"/>
        <item x="27"/>
        <item x="7"/>
        <item x="0"/>
        <item m="1" x="41"/>
        <item x="3"/>
        <item m="1" x="31"/>
        <item m="1" x="38"/>
        <item x="4"/>
        <item x="13"/>
        <item x="16"/>
        <item x="26"/>
        <item x="1"/>
        <item m="1" x="33"/>
        <item x="23"/>
        <item x="22"/>
        <item m="1" x="53"/>
        <item x="28"/>
        <item m="1" x="37"/>
        <item m="1" x="46"/>
        <item m="1" x="39"/>
        <item x="30"/>
        <item m="1" x="34"/>
        <item m="1" x="47"/>
        <item m="1" x="35"/>
        <item m="1" x="48"/>
        <item x="21"/>
        <item m="1" x="52"/>
        <item m="1" x="51"/>
        <item x="18"/>
        <item x="12"/>
        <item m="1" x="49"/>
        <item m="1" x="50"/>
        <item m="1" x="45"/>
        <item x="25"/>
        <item x="17"/>
        <item x="15"/>
        <item x="8"/>
        <item x="11"/>
        <item x="19"/>
        <item m="1" x="32"/>
        <item m="1" x="43"/>
        <item x="5"/>
        <item x="2"/>
        <item m="1" x="44"/>
        <item x="24"/>
        <item x="6"/>
        <item h="1" x="10"/>
      </items>
    </pivotField>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4"/>
  </rowFields>
  <rowItems count="35">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8"/>
    </i>
    <i>
      <x v="49"/>
    </i>
    <i t="grand">
      <x/>
    </i>
  </rowItems>
  <colItems count="1">
    <i/>
  </colItems>
  <dataFields count="1">
    <dataField name="Average of Actual effort" fld="8" subtotal="average" baseField="4" baseItem="0"/>
  </dataFields>
  <chartFormats count="47">
    <chartFormat chart="4" format="14" series="1">
      <pivotArea type="data" outline="0" fieldPosition="0">
        <references count="1">
          <reference field="4294967294" count="1" selected="0">
            <x v="0"/>
          </reference>
        </references>
      </pivotArea>
    </chartFormat>
    <chartFormat chart="4" format="15">
      <pivotArea type="data" outline="0" fieldPosition="0">
        <references count="2">
          <reference field="4294967294" count="1" selected="0">
            <x v="0"/>
          </reference>
          <reference field="4" count="1" selected="0">
            <x v="0"/>
          </reference>
        </references>
      </pivotArea>
    </chartFormat>
    <chartFormat chart="4" format="16">
      <pivotArea type="data" outline="0" fieldPosition="0">
        <references count="2">
          <reference field="4294967294" count="1" selected="0">
            <x v="0"/>
          </reference>
          <reference field="4" count="1" selected="0">
            <x v="1"/>
          </reference>
        </references>
      </pivotArea>
    </chartFormat>
    <chartFormat chart="4" format="17">
      <pivotArea type="data" outline="0" fieldPosition="0">
        <references count="2">
          <reference field="4294967294" count="1" selected="0">
            <x v="0"/>
          </reference>
          <reference field="4" count="1" selected="0">
            <x v="2"/>
          </reference>
        </references>
      </pivotArea>
    </chartFormat>
    <chartFormat chart="4" format="18">
      <pivotArea type="data" outline="0" fieldPosition="0">
        <references count="2">
          <reference field="4294967294" count="1" selected="0">
            <x v="0"/>
          </reference>
          <reference field="4" count="1" selected="0">
            <x v="3"/>
          </reference>
        </references>
      </pivotArea>
    </chartFormat>
    <chartFormat chart="4" format="19">
      <pivotArea type="data" outline="0" fieldPosition="0">
        <references count="2">
          <reference field="4294967294" count="1" selected="0">
            <x v="0"/>
          </reference>
          <reference field="4" count="1" selected="0">
            <x v="4"/>
          </reference>
        </references>
      </pivotArea>
    </chartFormat>
    <chartFormat chart="4" format="20">
      <pivotArea type="data" outline="0" fieldPosition="0">
        <references count="2">
          <reference field="4294967294" count="1" selected="0">
            <x v="0"/>
          </reference>
          <reference field="4" count="1" selected="0">
            <x v="5"/>
          </reference>
        </references>
      </pivotArea>
    </chartFormat>
    <chartFormat chart="4" format="21">
      <pivotArea type="data" outline="0" fieldPosition="0">
        <references count="2">
          <reference field="4294967294" count="1" selected="0">
            <x v="0"/>
          </reference>
          <reference field="4" count="1" selected="0">
            <x v="6"/>
          </reference>
        </references>
      </pivotArea>
    </chartFormat>
    <chartFormat chart="4" format="22">
      <pivotArea type="data" outline="0" fieldPosition="0">
        <references count="2">
          <reference field="4294967294" count="1" selected="0">
            <x v="0"/>
          </reference>
          <reference field="4" count="1" selected="0">
            <x v="7"/>
          </reference>
        </references>
      </pivotArea>
    </chartFormat>
    <chartFormat chart="4" format="23">
      <pivotArea type="data" outline="0" fieldPosition="0">
        <references count="2">
          <reference field="4294967294" count="1" selected="0">
            <x v="0"/>
          </reference>
          <reference field="4" count="1" selected="0">
            <x v="8"/>
          </reference>
        </references>
      </pivotArea>
    </chartFormat>
    <chartFormat chart="4" format="24">
      <pivotArea type="data" outline="0" fieldPosition="0">
        <references count="2">
          <reference field="4294967294" count="1" selected="0">
            <x v="0"/>
          </reference>
          <reference field="4" count="1" selected="0">
            <x v="9"/>
          </reference>
        </references>
      </pivotArea>
    </chartFormat>
    <chartFormat chart="4" format="25">
      <pivotArea type="data" outline="0" fieldPosition="0">
        <references count="2">
          <reference field="4294967294" count="1" selected="0">
            <x v="0"/>
          </reference>
          <reference field="4" count="1" selected="0">
            <x v="10"/>
          </reference>
        </references>
      </pivotArea>
    </chartFormat>
    <chartFormat chart="4" format="26">
      <pivotArea type="data" outline="0" fieldPosition="0">
        <references count="1">
          <reference field="4294967294" count="1" selected="0">
            <x v="0"/>
          </reference>
        </references>
      </pivotArea>
    </chartFormat>
    <chartFormat chart="4" format="27">
      <pivotArea type="data" outline="0" fieldPosition="0">
        <references count="2">
          <reference field="4294967294" count="1" selected="0">
            <x v="0"/>
          </reference>
          <reference field="4" count="1" selected="0">
            <x v="14"/>
          </reference>
        </references>
      </pivotArea>
    </chartFormat>
    <chartFormat chart="4" format="28">
      <pivotArea type="data" outline="0" fieldPosition="0">
        <references count="2">
          <reference field="4294967294" count="1" selected="0">
            <x v="0"/>
          </reference>
          <reference field="4" count="1" selected="0">
            <x v="15"/>
          </reference>
        </references>
      </pivotArea>
    </chartFormat>
    <chartFormat chart="4" format="29">
      <pivotArea type="data" outline="0" fieldPosition="0">
        <references count="2">
          <reference field="4294967294" count="1" selected="0">
            <x v="0"/>
          </reference>
          <reference field="4" count="1" selected="0">
            <x v="16"/>
          </reference>
        </references>
      </pivotArea>
    </chartFormat>
    <chartFormat chart="4" format="30">
      <pivotArea type="data" outline="0" fieldPosition="0">
        <references count="2">
          <reference field="4294967294" count="1" selected="0">
            <x v="0"/>
          </reference>
          <reference field="4" count="1" selected="0">
            <x v="17"/>
          </reference>
        </references>
      </pivotArea>
    </chartFormat>
    <chartFormat chart="4" format="31">
      <pivotArea type="data" outline="0" fieldPosition="0">
        <references count="2">
          <reference field="4294967294" count="1" selected="0">
            <x v="0"/>
          </reference>
          <reference field="4" count="1" selected="0">
            <x v="18"/>
          </reference>
        </references>
      </pivotArea>
    </chartFormat>
    <chartFormat chart="4" format="32">
      <pivotArea type="data" outline="0" fieldPosition="0">
        <references count="2">
          <reference field="4294967294" count="1" selected="0">
            <x v="0"/>
          </reference>
          <reference field="4" count="1" selected="0">
            <x v="19"/>
          </reference>
        </references>
      </pivotArea>
    </chartFormat>
    <chartFormat chart="4" format="33">
      <pivotArea type="data" outline="0" fieldPosition="0">
        <references count="2">
          <reference field="4294967294" count="1" selected="0">
            <x v="0"/>
          </reference>
          <reference field="4" count="1" selected="0">
            <x v="20"/>
          </reference>
        </references>
      </pivotArea>
    </chartFormat>
    <chartFormat chart="4" format="34">
      <pivotArea type="data" outline="0" fieldPosition="0">
        <references count="2">
          <reference field="4294967294" count="1" selected="0">
            <x v="0"/>
          </reference>
          <reference field="4" count="1" selected="0">
            <x v="21"/>
          </reference>
        </references>
      </pivotArea>
    </chartFormat>
    <chartFormat chart="4" format="35">
      <pivotArea type="data" outline="0" fieldPosition="0">
        <references count="2">
          <reference field="4294967294" count="1" selected="0">
            <x v="0"/>
          </reference>
          <reference field="4" count="1" selected="0">
            <x v="22"/>
          </reference>
        </references>
      </pivotArea>
    </chartFormat>
    <chartFormat chart="4" format="36">
      <pivotArea type="data" outline="0" fieldPosition="0">
        <references count="2">
          <reference field="4294967294" count="1" selected="0">
            <x v="0"/>
          </reference>
          <reference field="4" count="1" selected="0">
            <x v="23"/>
          </reference>
        </references>
      </pivotArea>
    </chartFormat>
    <chartFormat chart="4" format="37">
      <pivotArea type="data" outline="0" fieldPosition="0">
        <references count="2">
          <reference field="4294967294" count="1" selected="0">
            <x v="0"/>
          </reference>
          <reference field="4" count="1" selected="0">
            <x v="24"/>
          </reference>
        </references>
      </pivotArea>
    </chartFormat>
    <chartFormat chart="4" format="38">
      <pivotArea type="data" outline="0" fieldPosition="0">
        <references count="2">
          <reference field="4294967294" count="1" selected="0">
            <x v="0"/>
          </reference>
          <reference field="4" count="1" selected="0">
            <x v="25"/>
          </reference>
        </references>
      </pivotArea>
    </chartFormat>
    <chartFormat chart="4" format="39">
      <pivotArea type="data" outline="0" fieldPosition="0">
        <references count="2">
          <reference field="4294967294" count="1" selected="0">
            <x v="0"/>
          </reference>
          <reference field="4" count="1" selected="0">
            <x v="26"/>
          </reference>
        </references>
      </pivotArea>
    </chartFormat>
    <chartFormat chart="4" format="40">
      <pivotArea type="data" outline="0" fieldPosition="0">
        <references count="2">
          <reference field="4294967294" count="1" selected="0">
            <x v="0"/>
          </reference>
          <reference field="4" count="1" selected="0">
            <x v="27"/>
          </reference>
        </references>
      </pivotArea>
    </chartFormat>
    <chartFormat chart="4" format="41">
      <pivotArea type="data" outline="0" fieldPosition="0">
        <references count="2">
          <reference field="4294967294" count="1" selected="0">
            <x v="0"/>
          </reference>
          <reference field="4" count="1" selected="0">
            <x v="28"/>
          </reference>
        </references>
      </pivotArea>
    </chartFormat>
    <chartFormat chart="4" format="42">
      <pivotArea type="data" outline="0" fieldPosition="0">
        <references count="2">
          <reference field="4294967294" count="1" selected="0">
            <x v="0"/>
          </reference>
          <reference field="4" count="1" selected="0">
            <x v="29"/>
          </reference>
        </references>
      </pivotArea>
    </chartFormat>
    <chartFormat chart="4" format="43">
      <pivotArea type="data" outline="0" fieldPosition="0">
        <references count="2">
          <reference field="4294967294" count="1" selected="0">
            <x v="0"/>
          </reference>
          <reference field="4" count="1" selected="0">
            <x v="30"/>
          </reference>
        </references>
      </pivotArea>
    </chartFormat>
    <chartFormat chart="4" format="44">
      <pivotArea type="data" outline="0" fieldPosition="0">
        <references count="2">
          <reference field="4294967294" count="1" selected="0">
            <x v="0"/>
          </reference>
          <reference field="4" count="1" selected="0">
            <x v="31"/>
          </reference>
        </references>
      </pivotArea>
    </chartFormat>
    <chartFormat chart="4" format="45">
      <pivotArea type="data" outline="0" fieldPosition="0">
        <references count="2">
          <reference field="4294967294" count="1" selected="0">
            <x v="0"/>
          </reference>
          <reference field="4" count="1" selected="0">
            <x v="32"/>
          </reference>
        </references>
      </pivotArea>
    </chartFormat>
    <chartFormat chart="4" format="46">
      <pivotArea type="data" outline="0" fieldPosition="0">
        <references count="2">
          <reference field="4294967294" count="1" selected="0">
            <x v="0"/>
          </reference>
          <reference field="4" count="1" selected="0">
            <x v="33"/>
          </reference>
        </references>
      </pivotArea>
    </chartFormat>
    <chartFormat chart="4" format="47">
      <pivotArea type="data" outline="0" fieldPosition="0">
        <references count="2">
          <reference field="4294967294" count="1" selected="0">
            <x v="0"/>
          </reference>
          <reference field="4" count="1" selected="0">
            <x v="34"/>
          </reference>
        </references>
      </pivotArea>
    </chartFormat>
    <chartFormat chart="4" format="48">
      <pivotArea type="data" outline="0" fieldPosition="0">
        <references count="2">
          <reference field="4294967294" count="1" selected="0">
            <x v="0"/>
          </reference>
          <reference field="4" count="1" selected="0">
            <x v="35"/>
          </reference>
        </references>
      </pivotArea>
    </chartFormat>
    <chartFormat chart="4" format="49">
      <pivotArea type="data" outline="0" fieldPosition="0">
        <references count="2">
          <reference field="4294967294" count="1" selected="0">
            <x v="0"/>
          </reference>
          <reference field="4" count="1" selected="0">
            <x v="36"/>
          </reference>
        </references>
      </pivotArea>
    </chartFormat>
    <chartFormat chart="4" format="50">
      <pivotArea type="data" outline="0" fieldPosition="0">
        <references count="2">
          <reference field="4294967294" count="1" selected="0">
            <x v="0"/>
          </reference>
          <reference field="4" count="1" selected="0">
            <x v="37"/>
          </reference>
        </references>
      </pivotArea>
    </chartFormat>
    <chartFormat chart="4" format="51">
      <pivotArea type="data" outline="0" fieldPosition="0">
        <references count="2">
          <reference field="4294967294" count="1" selected="0">
            <x v="0"/>
          </reference>
          <reference field="4" count="1" selected="0">
            <x v="38"/>
          </reference>
        </references>
      </pivotArea>
    </chartFormat>
    <chartFormat chart="4" format="52">
      <pivotArea type="data" outline="0" fieldPosition="0">
        <references count="2">
          <reference field="4294967294" count="1" selected="0">
            <x v="0"/>
          </reference>
          <reference field="4" count="1" selected="0">
            <x v="39"/>
          </reference>
        </references>
      </pivotArea>
    </chartFormat>
    <chartFormat chart="4" format="53">
      <pivotArea type="data" outline="0" fieldPosition="0">
        <references count="2">
          <reference field="4294967294" count="1" selected="0">
            <x v="0"/>
          </reference>
          <reference field="4" count="1" selected="0">
            <x v="40"/>
          </reference>
        </references>
      </pivotArea>
    </chartFormat>
    <chartFormat chart="4" format="54">
      <pivotArea type="data" outline="0" fieldPosition="0">
        <references count="2">
          <reference field="4294967294" count="1" selected="0">
            <x v="0"/>
          </reference>
          <reference field="4" count="1" selected="0">
            <x v="41"/>
          </reference>
        </references>
      </pivotArea>
    </chartFormat>
    <chartFormat chart="4" format="55">
      <pivotArea type="data" outline="0" fieldPosition="0">
        <references count="2">
          <reference field="4294967294" count="1" selected="0">
            <x v="0"/>
          </reference>
          <reference field="4" count="1" selected="0">
            <x v="42"/>
          </reference>
        </references>
      </pivotArea>
    </chartFormat>
    <chartFormat chart="4" format="56">
      <pivotArea type="data" outline="0" fieldPosition="0">
        <references count="2">
          <reference field="4294967294" count="1" selected="0">
            <x v="0"/>
          </reference>
          <reference field="4" count="1" selected="0">
            <x v="43"/>
          </reference>
        </references>
      </pivotArea>
    </chartFormat>
    <chartFormat chart="4" format="57">
      <pivotArea type="data" outline="0" fieldPosition="0">
        <references count="2">
          <reference field="4294967294" count="1" selected="0">
            <x v="0"/>
          </reference>
          <reference field="4" count="1" selected="0">
            <x v="44"/>
          </reference>
        </references>
      </pivotArea>
    </chartFormat>
    <chartFormat chart="4" format="58">
      <pivotArea type="data" outline="0" fieldPosition="0">
        <references count="2">
          <reference field="4294967294" count="1" selected="0">
            <x v="0"/>
          </reference>
          <reference field="4" count="1" selected="0">
            <x v="45"/>
          </reference>
        </references>
      </pivotArea>
    </chartFormat>
    <chartFormat chart="4" format="59">
      <pivotArea type="data" outline="0" fieldPosition="0">
        <references count="2">
          <reference field="4294967294" count="1" selected="0">
            <x v="0"/>
          </reference>
          <reference field="4" count="1" selected="0">
            <x v="48"/>
          </reference>
        </references>
      </pivotArea>
    </chartFormat>
    <chartFormat chart="4" format="60">
      <pivotArea type="data" outline="0" fieldPosition="0">
        <references count="2">
          <reference field="4294967294" count="1" selected="0">
            <x v="0"/>
          </reference>
          <reference field="4" count="1" selected="0">
            <x v="4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3" cacheId="106" applyNumberFormats="0" applyBorderFormats="0" applyFontFormats="0" applyPatternFormats="0" applyAlignmentFormats="0" applyWidthHeightFormats="1" dataCaption="Values" updatedVersion="6" minRefreshableVersion="3" useAutoFormatting="1" itemPrintTitles="1" createdVersion="6" indent="0" compact="0" compactData="0" gridDropZones="1" multipleFieldFilters="0" chartFormat="3">
  <location ref="AE198:AG284" firstHeaderRow="2" firstDataRow="2" firstDataCol="2"/>
  <pivotFields count="16">
    <pivotField compact="0" outline="0" showAll="0" defaultSubtotal="0"/>
    <pivotField compact="0" outline="0" showAll="0" defaultSubtotal="0">
      <items count="9">
        <item m="1" x="8"/>
        <item x="5"/>
        <item x="0"/>
        <item x="1"/>
        <item x="3"/>
        <item m="1" x="6"/>
        <item x="4"/>
        <item m="1" x="7"/>
        <item x="2"/>
      </items>
    </pivotField>
    <pivotField compact="0" outline="0" showAll="0" defaultSubtotal="0">
      <items count="4">
        <item x="0"/>
        <item x="1"/>
        <item m="1" x="3"/>
        <item x="2"/>
      </items>
    </pivotField>
    <pivotField compact="0" outline="0" showAll="0" defaultSubtotal="0"/>
    <pivotField axis="axisRow" compact="0" outline="0" showAll="0" defaultSubtotal="0">
      <items count="50">
        <item m="1" x="35"/>
        <item m="1" x="39"/>
        <item x="8"/>
        <item m="1" x="47"/>
        <item m="1" x="40"/>
        <item m="1" x="38"/>
        <item m="1" x="44"/>
        <item m="1" x="43"/>
        <item m="1" x="46"/>
        <item m="1" x="41"/>
        <item m="1" x="36"/>
        <item m="1" x="49"/>
        <item m="1" x="48"/>
        <item m="1" x="42"/>
        <item x="0"/>
        <item x="1"/>
        <item x="2"/>
        <item x="3"/>
        <item x="4"/>
        <item x="5"/>
        <item x="6"/>
        <item x="11"/>
        <item x="12"/>
        <item x="13"/>
        <item x="14"/>
        <item x="15"/>
        <item x="16"/>
        <item x="17"/>
        <item x="18"/>
        <item x="19"/>
        <item x="20"/>
        <item x="21"/>
        <item x="22"/>
        <item x="23"/>
        <item x="24"/>
        <item x="25"/>
        <item x="26"/>
        <item x="27"/>
        <item x="28"/>
        <item x="29"/>
        <item x="30"/>
        <item x="31"/>
        <item x="32"/>
        <item x="33"/>
        <item x="34"/>
        <item x="7"/>
        <item m="1" x="45"/>
        <item m="1" x="37"/>
        <item x="9"/>
        <item x="10"/>
      </items>
    </pivotField>
    <pivotField axis="axisRow" compact="0" outline="0" showAll="0" defaultSubtotal="0">
      <items count="54">
        <item m="1" x="37"/>
        <item m="1" x="46"/>
        <item m="1" x="39"/>
        <item h="1" x="10"/>
        <item x="11"/>
        <item x="25"/>
        <item x="9"/>
        <item x="12"/>
        <item x="0"/>
        <item x="1"/>
        <item x="2"/>
        <item x="3"/>
        <item x="4"/>
        <item x="5"/>
        <item x="8"/>
        <item x="6"/>
        <item x="7"/>
        <item x="13"/>
        <item x="14"/>
        <item x="16"/>
        <item x="17"/>
        <item x="15"/>
        <item x="18"/>
        <item x="20"/>
        <item x="19"/>
        <item x="29"/>
        <item x="21"/>
        <item x="22"/>
        <item x="23"/>
        <item x="24"/>
        <item x="28"/>
        <item x="30"/>
        <item x="26"/>
        <item x="27"/>
        <item m="1" x="41"/>
        <item m="1" x="49"/>
        <item m="1" x="34"/>
        <item m="1" x="44"/>
        <item m="1" x="40"/>
        <item m="1" x="31"/>
        <item m="1" x="50"/>
        <item m="1" x="38"/>
        <item m="1" x="47"/>
        <item m="1" x="42"/>
        <item m="1" x="52"/>
        <item m="1" x="45"/>
        <item m="1" x="33"/>
        <item m="1" x="35"/>
        <item m="1" x="48"/>
        <item m="1" x="51"/>
        <item m="1" x="53"/>
        <item m="1" x="36"/>
        <item m="1" x="32"/>
        <item m="1" x="4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4"/>
    <field x="5"/>
  </rowFields>
  <rowItems count="85">
    <i>
      <x v="14"/>
      <x v="8"/>
    </i>
    <i r="1">
      <x v="9"/>
    </i>
    <i r="1">
      <x v="10"/>
    </i>
    <i r="1">
      <x v="11"/>
    </i>
    <i r="1">
      <x v="12"/>
    </i>
    <i r="1">
      <x v="13"/>
    </i>
    <i r="1">
      <x v="14"/>
    </i>
    <i r="1">
      <x v="15"/>
    </i>
    <i r="1">
      <x v="17"/>
    </i>
    <i r="1">
      <x v="18"/>
    </i>
    <i r="1">
      <x v="19"/>
    </i>
    <i r="1">
      <x v="20"/>
    </i>
    <i r="1">
      <x v="21"/>
    </i>
    <i r="1">
      <x v="22"/>
    </i>
    <i r="1">
      <x v="24"/>
    </i>
    <i>
      <x v="15"/>
      <x v="16"/>
    </i>
    <i r="1">
      <x v="23"/>
    </i>
    <i>
      <x v="16"/>
      <x v="6"/>
    </i>
    <i r="1">
      <x v="16"/>
    </i>
    <i r="1">
      <x v="20"/>
    </i>
    <i>
      <x v="17"/>
      <x v="12"/>
    </i>
    <i r="1">
      <x v="16"/>
    </i>
    <i r="1">
      <x v="18"/>
    </i>
    <i r="1">
      <x v="21"/>
    </i>
    <i r="1">
      <x v="23"/>
    </i>
    <i r="1">
      <x v="24"/>
    </i>
    <i>
      <x v="18"/>
      <x v="8"/>
    </i>
    <i r="1">
      <x v="9"/>
    </i>
    <i r="1">
      <x v="10"/>
    </i>
    <i r="1">
      <x v="11"/>
    </i>
    <i r="1">
      <x v="12"/>
    </i>
    <i r="1">
      <x v="13"/>
    </i>
    <i r="1">
      <x v="15"/>
    </i>
    <i r="1">
      <x v="17"/>
    </i>
    <i r="1">
      <x v="21"/>
    </i>
    <i r="1">
      <x v="24"/>
    </i>
    <i>
      <x v="19"/>
      <x v="5"/>
    </i>
    <i r="1">
      <x v="7"/>
    </i>
    <i r="1">
      <x v="8"/>
    </i>
    <i r="1">
      <x v="9"/>
    </i>
    <i r="1">
      <x v="10"/>
    </i>
    <i r="1">
      <x v="11"/>
    </i>
    <i r="1">
      <x v="12"/>
    </i>
    <i r="1">
      <x v="13"/>
    </i>
    <i r="1">
      <x v="14"/>
    </i>
    <i r="1">
      <x v="15"/>
    </i>
    <i r="1">
      <x v="19"/>
    </i>
    <i r="1">
      <x v="20"/>
    </i>
    <i r="1">
      <x v="23"/>
    </i>
    <i>
      <x v="20"/>
      <x v="12"/>
    </i>
    <i r="1">
      <x v="15"/>
    </i>
    <i r="1">
      <x v="19"/>
    </i>
    <i>
      <x v="21"/>
      <x v="11"/>
    </i>
    <i>
      <x v="22"/>
      <x v="11"/>
    </i>
    <i>
      <x v="23"/>
      <x v="26"/>
    </i>
    <i>
      <x v="24"/>
      <x v="27"/>
    </i>
    <i>
      <x v="25"/>
      <x v="28"/>
    </i>
    <i>
      <x v="26"/>
      <x v="29"/>
    </i>
    <i>
      <x v="27"/>
      <x v="5"/>
    </i>
    <i>
      <x v="28"/>
      <x v="32"/>
    </i>
    <i>
      <x v="29"/>
      <x v="33"/>
    </i>
    <i>
      <x v="30"/>
      <x v="30"/>
    </i>
    <i>
      <x v="31"/>
      <x v="25"/>
    </i>
    <i>
      <x v="32"/>
      <x v="25"/>
    </i>
    <i>
      <x v="33"/>
      <x v="5"/>
    </i>
    <i>
      <x v="34"/>
      <x v="32"/>
    </i>
    <i>
      <x v="35"/>
      <x v="33"/>
    </i>
    <i>
      <x v="36"/>
      <x v="26"/>
    </i>
    <i>
      <x v="37"/>
      <x v="27"/>
    </i>
    <i>
      <x v="38"/>
      <x v="28"/>
    </i>
    <i>
      <x v="39"/>
      <x v="29"/>
    </i>
    <i>
      <x v="40"/>
      <x v="31"/>
    </i>
    <i>
      <x v="41"/>
      <x v="33"/>
    </i>
    <i>
      <x v="42"/>
      <x v="32"/>
    </i>
    <i>
      <x v="43"/>
      <x v="30"/>
    </i>
    <i>
      <x v="44"/>
      <x v="31"/>
    </i>
    <i>
      <x v="45"/>
      <x v="6"/>
    </i>
    <i r="1">
      <x v="12"/>
    </i>
    <i>
      <x v="48"/>
      <x v="4"/>
    </i>
    <i r="1">
      <x v="6"/>
    </i>
    <i>
      <x v="49"/>
      <x v="6"/>
    </i>
    <i r="1">
      <x v="7"/>
    </i>
    <i r="1">
      <x v="15"/>
    </i>
    <i r="1">
      <x v="25"/>
    </i>
    <i t="grand">
      <x/>
    </i>
  </rowItems>
  <colItems count="1">
    <i/>
  </colItems>
  <dataFields count="1">
    <dataField name="Average of ILP " fld="11" subtotal="average" baseField="5" baseItem="0" numFmtId="2"/>
  </dataFields>
  <chartFormats count="1">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2" cacheId="10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4" firstHeaderRow="1" firstDataRow="1" firstDataCol="1"/>
  <pivotFields count="15">
    <pivotField showAll="0"/>
    <pivotField showAll="0"/>
    <pivotField showAll="0"/>
    <pivotField showAll="0"/>
    <pivotField showAll="0"/>
    <pivotField axis="axisRow" showAll="0">
      <items count="31">
        <item x="28"/>
        <item x="12"/>
        <item x="18"/>
        <item x="8"/>
        <item x="16"/>
        <item x="15"/>
        <item x="19"/>
        <item x="5"/>
        <item x="22"/>
        <item x="4"/>
        <item x="25"/>
        <item x="2"/>
        <item x="3"/>
        <item x="13"/>
        <item x="26"/>
        <item x="20"/>
        <item x="10"/>
        <item x="14"/>
        <item x="24"/>
        <item x="27"/>
        <item x="23"/>
        <item x="0"/>
        <item x="21"/>
        <item x="7"/>
        <item x="6"/>
        <item x="1"/>
        <item x="29"/>
        <item x="9"/>
        <item x="11"/>
        <item x="17"/>
        <item t="default"/>
      </items>
    </pivotField>
    <pivotField showAll="0"/>
    <pivotField dataField="1" showAll="0"/>
    <pivotField showAll="0"/>
    <pivotField showAll="0"/>
    <pivotField showAll="0"/>
    <pivotField showAll="0"/>
    <pivotField showAll="0"/>
    <pivotField showAll="0"/>
    <pivotField showAll="0"/>
  </pivotFields>
  <rowFields count="1">
    <field x="5"/>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Sum of Planned effort" fld="7"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Sapiance_Upload_Pivot" cacheId="105" applyNumberFormats="0" applyBorderFormats="0" applyFontFormats="0" applyPatternFormats="0" applyAlignmentFormats="0" applyWidthHeightFormats="1" dataCaption="Values" updatedVersion="6" minRefreshableVersion="5" useAutoFormatting="1" rowGrandTotals="0" colGrandTotals="0" itemPrintTitles="1" createdVersion="6" indent="0" compact="0" compactData="0" gridDropZones="1" multipleFieldFilters="0" rowHeaderCaption="Resource Name">
  <location ref="Z3:AD42" firstHeaderRow="1" firstDataRow="2" firstDataCol="2"/>
  <pivotFields count="14">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defaultSubtotal="0">
      <items count="4">
        <item x="1"/>
        <item x="2"/>
        <item x="0"/>
        <item m="1" x="3"/>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ubtotalTop="0" showAll="0" defaultSubtotal="0">
      <items count="54">
        <item m="1" x="49"/>
        <item m="1" x="44"/>
        <item h="1" x="10"/>
        <item m="1" x="42"/>
        <item x="11"/>
        <item x="25"/>
        <item x="9"/>
        <item x="12"/>
        <item x="0"/>
        <item x="1"/>
        <item x="2"/>
        <item x="3"/>
        <item x="4"/>
        <item x="5"/>
        <item x="8"/>
        <item x="6"/>
        <item x="7"/>
        <item x="13"/>
        <item x="14"/>
        <item x="16"/>
        <item x="17"/>
        <item x="15"/>
        <item x="18"/>
        <item x="20"/>
        <item x="19"/>
        <item x="29"/>
        <item x="21"/>
        <item x="22"/>
        <item x="23"/>
        <item x="24"/>
        <item x="28"/>
        <item x="30"/>
        <item x="26"/>
        <item x="27"/>
        <item m="1" x="52"/>
        <item m="1" x="31"/>
        <item m="1" x="46"/>
        <item m="1" x="45"/>
        <item m="1" x="34"/>
        <item m="1" x="35"/>
        <item m="1" x="53"/>
        <item m="1" x="41"/>
        <item m="1" x="50"/>
        <item m="1" x="43"/>
        <item m="1" x="47"/>
        <item m="1" x="39"/>
        <item m="1" x="40"/>
        <item m="1" x="48"/>
        <item m="1" x="38"/>
        <item m="1" x="36"/>
        <item m="1" x="33"/>
        <item m="1" x="51"/>
        <item m="1" x="37"/>
        <item m="1" x="32"/>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1"/>
    <field x="4"/>
  </rowFields>
  <rowItems count="38">
    <i>
      <x/>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x v="2"/>
      <x v="8"/>
    </i>
    <i r="1">
      <x v="9"/>
    </i>
    <i r="1">
      <x v="10"/>
    </i>
    <i r="1">
      <x v="11"/>
    </i>
    <i r="1">
      <x v="12"/>
    </i>
    <i r="1">
      <x v="13"/>
    </i>
    <i r="1">
      <x v="15"/>
    </i>
    <i r="1">
      <x v="16"/>
    </i>
  </rowItems>
  <colFields count="1">
    <field x="-2"/>
  </colFields>
  <colItems count="3">
    <i>
      <x/>
    </i>
    <i i="1">
      <x v="1"/>
    </i>
    <i i="2">
      <x v="2"/>
    </i>
  </colItems>
  <dataFields count="3">
    <dataField name="Value" fld="10" subtotal="average" baseField="5" baseItem="0"/>
    <dataField name="Goal." fld="11" subtotal="average" baseField="5" baseItem="0"/>
    <dataField name="ILP." fld="13" subtotal="average" baseField="5" baseItem="0" numFmtId="2"/>
  </dataFields>
  <formats count="99">
    <format dxfId="122">
      <pivotArea outline="0" collapsedLevelsAreSubtotals="1" fieldPosition="0"/>
    </format>
    <format dxfId="121">
      <pivotArea dataOnly="0" labelOnly="1" outline="0" axis="axisValues" fieldPosition="0"/>
    </format>
    <format dxfId="120">
      <pivotArea dataOnly="0" labelOnly="1" outline="0" axis="axisValues" fieldPosition="0"/>
    </format>
    <format dxfId="119">
      <pivotArea type="all" dataOnly="0" outline="0" fieldPosition="0"/>
    </format>
    <format dxfId="118">
      <pivotArea outline="0" collapsedLevelsAreSubtotals="1" fieldPosition="0"/>
    </format>
    <format dxfId="117">
      <pivotArea field="4" type="button" dataOnly="0" labelOnly="1" outline="0" axis="axisRow" fieldPosition="1"/>
    </format>
    <format dxfId="116">
      <pivotArea dataOnly="0" labelOnly="1" fieldPosition="0">
        <references count="1">
          <reference field="4" count="0"/>
        </references>
      </pivotArea>
    </format>
    <format dxfId="115">
      <pivotArea dataOnly="0" labelOnly="1" grandRow="1" outline="0" fieldPosition="0"/>
    </format>
    <format dxfId="114">
      <pivotArea dataOnly="0" labelOnly="1" outline="0" fieldPosition="0">
        <references count="1">
          <reference field="4294967294" count="3">
            <x v="0"/>
            <x v="1"/>
            <x v="2"/>
          </reference>
        </references>
      </pivotArea>
    </format>
    <format dxfId="113">
      <pivotArea type="all" dataOnly="0" outline="0" fieldPosition="0"/>
    </format>
    <format dxfId="112">
      <pivotArea outline="0" collapsedLevelsAreSubtotals="1" fieldPosition="0"/>
    </format>
    <format dxfId="111">
      <pivotArea field="4" type="button" dataOnly="0" labelOnly="1" outline="0" axis="axisRow" fieldPosition="1"/>
    </format>
    <format dxfId="110">
      <pivotArea dataOnly="0" labelOnly="1" fieldPosition="0">
        <references count="1">
          <reference field="4" count="0"/>
        </references>
      </pivotArea>
    </format>
    <format dxfId="109">
      <pivotArea dataOnly="0" labelOnly="1" outline="0" fieldPosition="0">
        <references count="1">
          <reference field="4294967294" count="3">
            <x v="0"/>
            <x v="1"/>
            <x v="2"/>
          </reference>
        </references>
      </pivotArea>
    </format>
    <format dxfId="108">
      <pivotArea field="4" type="button" dataOnly="0" labelOnly="1" outline="0" axis="axisRow" fieldPosition="1"/>
    </format>
    <format dxfId="107">
      <pivotArea dataOnly="0" labelOnly="1" outline="0" fieldPosition="0">
        <references count="1">
          <reference field="4294967294" count="3">
            <x v="0"/>
            <x v="1"/>
            <x v="2"/>
          </reference>
        </references>
      </pivotArea>
    </format>
    <format dxfId="106">
      <pivotArea field="4" type="button" dataOnly="0" labelOnly="1" outline="0" axis="axisRow" fieldPosition="1"/>
    </format>
    <format dxfId="105">
      <pivotArea dataOnly="0" labelOnly="1" outline="0" fieldPosition="0">
        <references count="1">
          <reference field="4294967294" count="3">
            <x v="0"/>
            <x v="1"/>
            <x v="2"/>
          </reference>
        </references>
      </pivotArea>
    </format>
    <format dxfId="104">
      <pivotArea field="4" type="button" dataOnly="0" labelOnly="1" outline="0" axis="axisRow" fieldPosition="1"/>
    </format>
    <format dxfId="103">
      <pivotArea dataOnly="0" labelOnly="1" outline="0" fieldPosition="0">
        <references count="1">
          <reference field="4294967294" count="3">
            <x v="0"/>
            <x v="1"/>
            <x v="2"/>
          </reference>
        </references>
      </pivotArea>
    </format>
    <format dxfId="102">
      <pivotArea outline="0" collapsedLevelsAreSubtotals="1" fieldPosition="0"/>
    </format>
    <format dxfId="101">
      <pivotArea dataOnly="0" labelOnly="1" fieldPosition="0">
        <references count="1">
          <reference field="4" count="0"/>
        </references>
      </pivotArea>
    </format>
    <format dxfId="100">
      <pivotArea type="all" dataOnly="0" outline="0" fieldPosition="0"/>
    </format>
    <format dxfId="99">
      <pivotArea outline="0" collapsedLevelsAreSubtotals="1" fieldPosition="0"/>
    </format>
    <format dxfId="98">
      <pivotArea field="4" type="button" dataOnly="0" labelOnly="1" outline="0" axis="axisRow" fieldPosition="1"/>
    </format>
    <format dxfId="97">
      <pivotArea dataOnly="0" labelOnly="1" fieldPosition="0">
        <references count="1">
          <reference field="4" count="0"/>
        </references>
      </pivotArea>
    </format>
    <format dxfId="96">
      <pivotArea dataOnly="0" labelOnly="1" outline="0" fieldPosition="0">
        <references count="1">
          <reference field="4294967294" count="3">
            <x v="0"/>
            <x v="1"/>
            <x v="2"/>
          </reference>
        </references>
      </pivotArea>
    </format>
    <format dxfId="95">
      <pivotArea type="all" dataOnly="0" outline="0" fieldPosition="0"/>
    </format>
    <format dxfId="94">
      <pivotArea outline="0" collapsedLevelsAreSubtotals="1" fieldPosition="0"/>
    </format>
    <format dxfId="93">
      <pivotArea field="4" type="button" dataOnly="0" labelOnly="1" outline="0" axis="axisRow" fieldPosition="1"/>
    </format>
    <format dxfId="92">
      <pivotArea dataOnly="0" labelOnly="1" fieldPosition="0">
        <references count="1">
          <reference field="4" count="0"/>
        </references>
      </pivotArea>
    </format>
    <format dxfId="91">
      <pivotArea dataOnly="0" labelOnly="1" outline="0" fieldPosition="0">
        <references count="1">
          <reference field="4294967294" count="3">
            <x v="0"/>
            <x v="1"/>
            <x v="2"/>
          </reference>
        </references>
      </pivotArea>
    </format>
    <format dxfId="90">
      <pivotArea type="all" dataOnly="0" outline="0" fieldPosition="0"/>
    </format>
    <format dxfId="89">
      <pivotArea outline="0" collapsedLevelsAreSubtotals="1" fieldPosition="0"/>
    </format>
    <format dxfId="88">
      <pivotArea field="4" type="button" dataOnly="0" labelOnly="1" outline="0" axis="axisRow" fieldPosition="1"/>
    </format>
    <format dxfId="87">
      <pivotArea dataOnly="0" labelOnly="1" fieldPosition="0">
        <references count="1">
          <reference field="4" count="0"/>
        </references>
      </pivotArea>
    </format>
    <format dxfId="86">
      <pivotArea dataOnly="0" labelOnly="1" outline="0" fieldPosition="0">
        <references count="1">
          <reference field="4294967294" count="3">
            <x v="0"/>
            <x v="1"/>
            <x v="2"/>
          </reference>
        </references>
      </pivotArea>
    </format>
    <format dxfId="85">
      <pivotArea type="all" dataOnly="0" outline="0" fieldPosition="0"/>
    </format>
    <format dxfId="84">
      <pivotArea outline="0" collapsedLevelsAreSubtotals="1" fieldPosition="0"/>
    </format>
    <format dxfId="83">
      <pivotArea field="4" type="button" dataOnly="0" labelOnly="1" outline="0" axis="axisRow" fieldPosition="1"/>
    </format>
    <format dxfId="82">
      <pivotArea dataOnly="0" labelOnly="1" fieldPosition="0">
        <references count="1">
          <reference field="4" count="0"/>
        </references>
      </pivotArea>
    </format>
    <format dxfId="81">
      <pivotArea dataOnly="0" labelOnly="1" outline="0" fieldPosition="0">
        <references count="1">
          <reference field="4294967294" count="3">
            <x v="0"/>
            <x v="1"/>
            <x v="2"/>
          </reference>
        </references>
      </pivotArea>
    </format>
    <format dxfId="80">
      <pivotArea type="all" dataOnly="0" outline="0" fieldPosition="0"/>
    </format>
    <format dxfId="79">
      <pivotArea outline="0" collapsedLevelsAreSubtotals="1" fieldPosition="0"/>
    </format>
    <format dxfId="78">
      <pivotArea field="4" type="button" dataOnly="0" labelOnly="1" outline="0" axis="axisRow" fieldPosition="1"/>
    </format>
    <format dxfId="77">
      <pivotArea dataOnly="0" labelOnly="1" fieldPosition="0">
        <references count="1">
          <reference field="4" count="0"/>
        </references>
      </pivotArea>
    </format>
    <format dxfId="76">
      <pivotArea dataOnly="0" labelOnly="1" outline="0" fieldPosition="0">
        <references count="1">
          <reference field="4294967294" count="3">
            <x v="0"/>
            <x v="1"/>
            <x v="2"/>
          </reference>
        </references>
      </pivotArea>
    </format>
    <format dxfId="75">
      <pivotArea type="all" dataOnly="0" outline="0" fieldPosition="0"/>
    </format>
    <format dxfId="74">
      <pivotArea outline="0" collapsedLevelsAreSubtotals="1" fieldPosition="0"/>
    </format>
    <format dxfId="73">
      <pivotArea field="4" type="button" dataOnly="0" labelOnly="1" outline="0" axis="axisRow" fieldPosition="1"/>
    </format>
    <format dxfId="72">
      <pivotArea dataOnly="0" labelOnly="1" fieldPosition="0">
        <references count="1">
          <reference field="4" count="0"/>
        </references>
      </pivotArea>
    </format>
    <format dxfId="71">
      <pivotArea dataOnly="0" labelOnly="1" outline="0" fieldPosition="0">
        <references count="1">
          <reference field="4294967294" count="3">
            <x v="0"/>
            <x v="1"/>
            <x v="2"/>
          </reference>
        </references>
      </pivotArea>
    </format>
    <format dxfId="70">
      <pivotArea type="all" dataOnly="0" outline="0" fieldPosition="0"/>
    </format>
    <format dxfId="69">
      <pivotArea outline="0" collapsedLevelsAreSubtotals="1" fieldPosition="0"/>
    </format>
    <format dxfId="68">
      <pivotArea field="4" type="button" dataOnly="0" labelOnly="1" outline="0" axis="axisRow" fieldPosition="1"/>
    </format>
    <format dxfId="67">
      <pivotArea dataOnly="0" labelOnly="1" fieldPosition="0">
        <references count="1">
          <reference field="4" count="0"/>
        </references>
      </pivotArea>
    </format>
    <format dxfId="66">
      <pivotArea dataOnly="0" labelOnly="1" outline="0" fieldPosition="0">
        <references count="1">
          <reference field="4294967294" count="3">
            <x v="0"/>
            <x v="1"/>
            <x v="2"/>
          </reference>
        </references>
      </pivotArea>
    </format>
    <format dxfId="65">
      <pivotArea type="all" dataOnly="0" outline="0" fieldPosition="0"/>
    </format>
    <format dxfId="64">
      <pivotArea outline="0" collapsedLevelsAreSubtotals="1" fieldPosition="0"/>
    </format>
    <format dxfId="63">
      <pivotArea field="4" type="button" dataOnly="0" labelOnly="1" outline="0" axis="axisRow" fieldPosition="1"/>
    </format>
    <format dxfId="62">
      <pivotArea dataOnly="0" labelOnly="1" fieldPosition="0">
        <references count="1">
          <reference field="4" count="0"/>
        </references>
      </pivotArea>
    </format>
    <format dxfId="61">
      <pivotArea dataOnly="0" labelOnly="1" outline="0" fieldPosition="0">
        <references count="1">
          <reference field="4294967294" count="3">
            <x v="0"/>
            <x v="1"/>
            <x v="2"/>
          </reference>
        </references>
      </pivotArea>
    </format>
    <format dxfId="60">
      <pivotArea type="all" dataOnly="0" outline="0" fieldPosition="0"/>
    </format>
    <format dxfId="59">
      <pivotArea outline="0" collapsedLevelsAreSubtotals="1" fieldPosition="0"/>
    </format>
    <format dxfId="58">
      <pivotArea field="4" type="button" dataOnly="0" labelOnly="1" outline="0" axis="axisRow" fieldPosition="1"/>
    </format>
    <format dxfId="57">
      <pivotArea dataOnly="0" labelOnly="1" fieldPosition="0">
        <references count="1">
          <reference field="4" count="0"/>
        </references>
      </pivotArea>
    </format>
    <format dxfId="56">
      <pivotArea dataOnly="0" labelOnly="1" outline="0" fieldPosition="0">
        <references count="1">
          <reference field="4294967294" count="3">
            <x v="0"/>
            <x v="1"/>
            <x v="2"/>
          </reference>
        </references>
      </pivotArea>
    </format>
    <format dxfId="55">
      <pivotArea type="all" dataOnly="0" outline="0" fieldPosition="0"/>
    </format>
    <format dxfId="54">
      <pivotArea outline="0" collapsedLevelsAreSubtotals="1" fieldPosition="0"/>
    </format>
    <format dxfId="53">
      <pivotArea field="4" type="button" dataOnly="0" labelOnly="1" outline="0" axis="axisRow" fieldPosition="1"/>
    </format>
    <format dxfId="52">
      <pivotArea dataOnly="0" labelOnly="1" fieldPosition="0">
        <references count="1">
          <reference field="4" count="0"/>
        </references>
      </pivotArea>
    </format>
    <format dxfId="51">
      <pivotArea dataOnly="0" labelOnly="1" outline="0" fieldPosition="0">
        <references count="1">
          <reference field="4294967294" count="3">
            <x v="0"/>
            <x v="1"/>
            <x v="2"/>
          </reference>
        </references>
      </pivotArea>
    </format>
    <format dxfId="50">
      <pivotArea field="1" type="button" dataOnly="0" labelOnly="1" outline="0" axis="axisRow" fieldPosition="0"/>
    </format>
    <format dxfId="49">
      <pivotArea type="all" dataOnly="0" outline="0" fieldPosition="0"/>
    </format>
    <format dxfId="48">
      <pivotArea outline="0" collapsedLevelsAreSubtotals="1" fieldPosition="0"/>
    </format>
    <format dxfId="47">
      <pivotArea type="origin" dataOnly="0" labelOnly="1" outline="0" fieldPosition="0"/>
    </format>
    <format dxfId="46">
      <pivotArea field="-2" type="button" dataOnly="0" labelOnly="1" outline="0" axis="axisCol" fieldPosition="0"/>
    </format>
    <format dxfId="45">
      <pivotArea type="topRight" dataOnly="0" labelOnly="1" outline="0" fieldPosition="0"/>
    </format>
    <format dxfId="44">
      <pivotArea field="1" type="button" dataOnly="0" labelOnly="1" outline="0" axis="axisRow" fieldPosition="0"/>
    </format>
    <format dxfId="43">
      <pivotArea field="4" type="button" dataOnly="0" labelOnly="1" outline="0" axis="axisRow" fieldPosition="1"/>
    </format>
    <format dxfId="42">
      <pivotArea dataOnly="0" labelOnly="1" outline="0" fieldPosition="0">
        <references count="1">
          <reference field="1" count="1">
            <x v="0"/>
          </reference>
        </references>
      </pivotArea>
    </format>
    <format dxfId="41">
      <pivotArea dataOnly="0" labelOnly="1" outline="0" fieldPosition="0">
        <references count="2">
          <reference field="1" count="1" selected="0">
            <x v="0"/>
          </reference>
          <reference field="4" count="2">
            <x v="0"/>
            <x v="1"/>
          </reference>
        </references>
      </pivotArea>
    </format>
    <format dxfId="40">
      <pivotArea dataOnly="0" labelOnly="1" outline="0" fieldPosition="0">
        <references count="1">
          <reference field="4294967294" count="3">
            <x v="0"/>
            <x v="1"/>
            <x v="2"/>
          </reference>
        </references>
      </pivotArea>
    </format>
    <format dxfId="39">
      <pivotArea type="all" dataOnly="0" outline="0" fieldPosition="0"/>
    </format>
    <format dxfId="38">
      <pivotArea outline="0" collapsedLevelsAreSubtotals="1" fieldPosition="0"/>
    </format>
    <format dxfId="37">
      <pivotArea type="origin" dataOnly="0" labelOnly="1" outline="0" fieldPosition="0"/>
    </format>
    <format dxfId="36">
      <pivotArea field="-2" type="button" dataOnly="0" labelOnly="1" outline="0" axis="axisCol" fieldPosition="0"/>
    </format>
    <format dxfId="35">
      <pivotArea type="topRight" dataOnly="0" labelOnly="1" outline="0" fieldPosition="0"/>
    </format>
    <format dxfId="34">
      <pivotArea field="1" type="button" dataOnly="0" labelOnly="1" outline="0" axis="axisRow" fieldPosition="0"/>
    </format>
    <format dxfId="33">
      <pivotArea field="4" type="button" dataOnly="0" labelOnly="1" outline="0" axis="axisRow" fieldPosition="1"/>
    </format>
    <format dxfId="32">
      <pivotArea dataOnly="0" labelOnly="1" outline="0" fieldPosition="0">
        <references count="1">
          <reference field="4294967294" count="3">
            <x v="0"/>
            <x v="1"/>
            <x v="2"/>
          </reference>
        </references>
      </pivotArea>
    </format>
    <format dxfId="31">
      <pivotArea type="all" dataOnly="0" outline="0" fieldPosition="0"/>
    </format>
    <format dxfId="30">
      <pivotArea outline="0" collapsedLevelsAreSubtotals="1" fieldPosition="0"/>
    </format>
    <format dxfId="29">
      <pivotArea type="origin" dataOnly="0" labelOnly="1" outline="0" fieldPosition="0"/>
    </format>
    <format dxfId="28">
      <pivotArea field="-2" type="button" dataOnly="0" labelOnly="1" outline="0" axis="axisCol" fieldPosition="0"/>
    </format>
    <format dxfId="27">
      <pivotArea type="topRight" dataOnly="0" labelOnly="1" outline="0" fieldPosition="0"/>
    </format>
    <format dxfId="26">
      <pivotArea field="1" type="button" dataOnly="0" labelOnly="1" outline="0" axis="axisRow" fieldPosition="0"/>
    </format>
    <format dxfId="25">
      <pivotArea field="4" type="button" dataOnly="0" labelOnly="1" outline="0" axis="axisRow" fieldPosition="1"/>
    </format>
    <format dxfId="24">
      <pivotArea dataOnly="0" labelOnly="1" outline="0" fieldPosition="0">
        <references count="1">
          <reference field="4294967294" count="3">
            <x v="0"/>
            <x v="1"/>
            <x v="2"/>
          </reference>
        </references>
      </pivotArea>
    </format>
  </formats>
  <pivotTableStyleInfo showRowHeaders="1" showColHeaders="1" showRowStripes="1" showColStripes="1"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lease___CR_Name" sourceName="Release / CR Name">
  <pivotTables>
    <pivotTable tabId="13" name="ILP_Dashboard_1"/>
    <pivotTable tabId="13" name="PivotTable3"/>
    <pivotTable tabId="13" name="PivotTable4"/>
    <pivotTable tabId="13" name="PivotTable5"/>
  </pivotTables>
  <data>
    <tabular pivotCacheId="4">
      <items count="9">
        <i x="5" s="1"/>
        <i x="0" s="1"/>
        <i x="1" s="1"/>
        <i x="3" s="1"/>
        <i x="4" s="1"/>
        <i x="8" s="1" nd="1"/>
        <i x="6" s="1" nd="1"/>
        <i x="7"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13" name="ILP_Dashboard_1"/>
    <pivotTable tabId="13" name="PivotTable3"/>
    <pivotTable tabId="13" name="PivotTable4"/>
    <pivotTable tabId="13" name="PivotTable5"/>
  </pivotTables>
  <data>
    <tabular pivotCacheId="4">
      <items count="4">
        <i x="0" s="1"/>
        <i x="1" s="1"/>
        <i x="3"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hase" sourceName="Phase">
  <pivotTables>
    <pivotTable tabId="13" name="ILP_Dashboard_1"/>
    <pivotTable tabId="13" name="PivotTable3"/>
    <pivotTable tabId="13" name="PivotTable4"/>
    <pivotTable tabId="13" name="PivotTable5"/>
  </pivotTables>
  <data>
    <tabular pivotCacheId="4">
      <items count="50">
        <i x="0" s="1"/>
        <i x="26" s="1"/>
        <i x="11" s="1"/>
        <i x="27" s="1"/>
        <i x="28" s="1"/>
        <i x="30" s="1"/>
        <i x="29" s="1"/>
        <i x="12" s="1"/>
        <i x="25" s="1"/>
        <i x="24" s="1"/>
        <i x="3" s="1"/>
        <i x="5" s="1"/>
        <i x="33" s="1"/>
        <i x="31" s="1"/>
        <i x="32" s="1"/>
        <i x="34" s="1"/>
        <i x="4" s="1"/>
        <i x="9" s="1"/>
        <i x="7" s="1"/>
        <i x="6" s="1"/>
        <i x="10" s="1"/>
        <i x="21" s="1"/>
        <i x="1" s="1"/>
        <i x="2" s="1"/>
        <i x="19" s="1"/>
        <i x="22" s="1"/>
        <i x="16" s="1"/>
        <i x="20" s="1"/>
        <i x="15" s="1"/>
        <i x="14" s="1"/>
        <i x="23" s="1"/>
        <i x="17" s="1"/>
        <i x="13" s="1"/>
        <i x="18" s="1"/>
        <i x="35" s="1" nd="1"/>
        <i x="39" s="1" nd="1"/>
        <i x="36" s="1" nd="1"/>
        <i x="40" s="1" nd="1"/>
        <i x="43" s="1" nd="1"/>
        <i x="38" s="1" nd="1"/>
        <i x="37" s="1" nd="1"/>
        <i x="41" s="1" nd="1"/>
        <i x="45" s="1" nd="1"/>
        <i x="42" s="1" nd="1"/>
        <i x="47" s="1" nd="1"/>
        <i x="49" s="1" nd="1"/>
        <i x="48" s="1" nd="1"/>
        <i x="44" s="1" nd="1"/>
        <i x="46" s="1" nd="1"/>
        <i x="8"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Resource_Name" sourceName="Resource Name">
  <pivotTables>
    <pivotTable tabId="13" name="ILP_Dashboard_1"/>
    <pivotTable tabId="13" name="PivotTable3"/>
    <pivotTable tabId="13" name="PivotTable4"/>
    <pivotTable tabId="13" name="PivotTable5"/>
  </pivotTables>
  <data>
    <tabular pivotCacheId="4">
      <items count="54">
        <i x="29" s="1"/>
        <i x="20" s="1"/>
        <i x="14" s="1"/>
        <i x="9" s="1"/>
        <i x="27" s="1"/>
        <i x="7" s="1"/>
        <i x="0" s="1"/>
        <i x="3" s="1"/>
        <i x="4" s="1"/>
        <i x="13" s="1"/>
        <i x="16" s="1"/>
        <i x="26" s="1"/>
        <i x="1" s="1"/>
        <i x="23" s="1"/>
        <i x="22" s="1"/>
        <i x="28" s="1"/>
        <i x="30" s="1"/>
        <i x="21" s="1"/>
        <i x="18" s="1"/>
        <i x="12" s="1"/>
        <i x="25" s="1"/>
        <i x="17" s="1"/>
        <i x="15" s="1"/>
        <i x="8" s="1"/>
        <i x="11" s="1"/>
        <i x="19" s="1"/>
        <i x="5" s="1"/>
        <i x="2" s="1"/>
        <i x="24" s="1"/>
        <i x="6" s="1"/>
        <i x="10"/>
        <i x="42" s="1" nd="1"/>
        <i x="36" s="1" nd="1"/>
        <i x="40" s="1" nd="1"/>
        <i x="41" s="1" nd="1"/>
        <i x="31" s="1" nd="1"/>
        <i x="38" s="1" nd="1"/>
        <i x="33" s="1" nd="1"/>
        <i x="53" s="1" nd="1"/>
        <i x="37" s="1" nd="1"/>
        <i x="46" s="1" nd="1"/>
        <i x="39" s="1" nd="1"/>
        <i x="34" s="1" nd="1"/>
        <i x="47" s="1" nd="1"/>
        <i x="35" s="1" nd="1"/>
        <i x="48" s="1" nd="1"/>
        <i x="52" s="1" nd="1"/>
        <i x="51" s="1" nd="1"/>
        <i x="49" s="1" nd="1"/>
        <i x="50" s="1" nd="1"/>
        <i x="45" s="1" nd="1"/>
        <i x="32" s="1" nd="1"/>
        <i x="43" s="1" nd="1"/>
        <i x="4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lease / CR Name" cache="Slicer_Release___CR_Name" caption="Release / CR Name" style="SlicerStyleDark5" rowHeight="241300"/>
  <slicer name="Month" cache="Slicer_Month" caption="Month" style="SlicerStyleDark5" rowHeight="241300"/>
  <slicer name="Phase" cache="Slicer_Phase" caption="Phase" style="SlicerStyleDark5" rowHeight="241300"/>
  <slicer name="Resource Name" cache="Slicer_Resource_Name" caption="Resource Name" style="SlicerStyleDark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name="NativeTimeline_Month" sourceName="Month">
  <pivotTables>
    <pivotTable tabId="12" name="Sapiance_Upload_Pivot"/>
  </pivotTables>
  <state minimalRefreshVersion="6" lastRefreshVersion="6" pivotCacheId="3" filterType="unknown">
    <bounds startDate="2018-01-01T00:00:00" endDate="2019-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Month 1" cache="NativeTimeline_Month" caption="Month" showTimeLevel="0" level="2" selectionLevel="2" scrollPosition="2018-01-01T00:00:00" style="TimeSlicerStyleDark5"/>
</timelines>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mailto:harshitha_p@hcl.com" TargetMode="Externa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6.xml"/><Relationship Id="rId4" Type="http://schemas.microsoft.com/office/2011/relationships/timeline" Target="../timelines/timelin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284"/>
  <sheetViews>
    <sheetView showGridLines="0" showRowColHeaders="0" workbookViewId="0">
      <pane ySplit="10" topLeftCell="A11" activePane="bottomLeft" state="frozen"/>
      <selection pane="bottomLeft" activeCell="A13" sqref="A13"/>
    </sheetView>
  </sheetViews>
  <sheetFormatPr defaultRowHeight="15" x14ac:dyDescent="0.25"/>
  <cols>
    <col min="1" max="1" width="8.7109375" customWidth="1" collapsed="1"/>
    <col min="2" max="12" width="15.7109375" customWidth="1" collapsed="1"/>
    <col min="13" max="13" width="20.7109375" customWidth="1" collapsed="1"/>
    <col min="14" max="14" width="19" customWidth="1" collapsed="1"/>
    <col min="27" max="27" width="23.28515625" customWidth="1" collapsed="1"/>
    <col min="28" max="28" width="19.140625" bestFit="1" customWidth="1" collapsed="1"/>
    <col min="29" max="29" width="18.42578125" bestFit="1" customWidth="1" collapsed="1"/>
    <col min="32" max="32" width="23.28515625" customWidth="1" collapsed="1"/>
    <col min="33" max="33" width="5.42578125" bestFit="1" customWidth="1" collapsed="1"/>
    <col min="35" max="35" width="102.28515625" customWidth="1" collapsed="1"/>
    <col min="36" max="36" width="22.5703125" bestFit="1" customWidth="1" collapsed="1"/>
    <col min="38" max="38" width="23.28515625" customWidth="1" collapsed="1"/>
    <col min="39" max="39" width="20.7109375" bestFit="1" customWidth="1" collapsed="1"/>
    <col min="40" max="40" width="19" bestFit="1" customWidth="1" collapsed="1"/>
  </cols>
  <sheetData>
    <row r="1" spans="2:12" ht="18.75" x14ac:dyDescent="0.3">
      <c r="B1" s="138" t="s">
        <v>136</v>
      </c>
      <c r="C1" s="139"/>
      <c r="D1" s="139"/>
      <c r="E1" s="139"/>
      <c r="F1" s="139"/>
      <c r="G1" s="139"/>
      <c r="H1" s="139"/>
      <c r="I1" s="139"/>
      <c r="J1" s="139"/>
      <c r="K1" s="139"/>
      <c r="L1" s="140"/>
    </row>
    <row r="2" spans="2:12" x14ac:dyDescent="0.25">
      <c r="B2" s="112"/>
      <c r="C2" s="40"/>
      <c r="D2" s="40"/>
      <c r="E2" s="40"/>
      <c r="F2" s="40"/>
      <c r="G2" s="40"/>
      <c r="H2" s="40"/>
      <c r="I2" s="40"/>
      <c r="J2" s="40"/>
      <c r="K2" s="40"/>
      <c r="L2" s="113"/>
    </row>
    <row r="3" spans="2:12" x14ac:dyDescent="0.25">
      <c r="B3" s="112"/>
      <c r="C3" s="40"/>
      <c r="D3" s="40"/>
      <c r="E3" s="40"/>
      <c r="F3" s="40"/>
      <c r="G3" s="40"/>
      <c r="H3" s="40"/>
      <c r="I3" s="40"/>
      <c r="J3" s="40"/>
      <c r="K3" s="40"/>
      <c r="L3" s="113"/>
    </row>
    <row r="4" spans="2:12" x14ac:dyDescent="0.25">
      <c r="B4" s="112"/>
      <c r="C4" s="40"/>
      <c r="D4" s="40"/>
      <c r="E4" s="40"/>
      <c r="F4" s="40"/>
      <c r="G4" s="40"/>
      <c r="H4" s="40"/>
      <c r="I4" s="40"/>
      <c r="J4" s="40"/>
      <c r="K4" s="40"/>
      <c r="L4" s="113"/>
    </row>
    <row r="5" spans="2:12" x14ac:dyDescent="0.25">
      <c r="B5" s="112"/>
      <c r="C5" s="40"/>
      <c r="D5" s="40"/>
      <c r="E5" s="40"/>
      <c r="F5" s="40"/>
      <c r="G5" s="40"/>
      <c r="H5" s="40"/>
      <c r="I5" s="40"/>
      <c r="J5" s="40"/>
      <c r="K5" s="40"/>
      <c r="L5" s="113"/>
    </row>
    <row r="6" spans="2:12" x14ac:dyDescent="0.25">
      <c r="B6" s="112"/>
      <c r="C6" s="40"/>
      <c r="D6" s="40"/>
      <c r="E6" s="40"/>
      <c r="F6" s="40"/>
      <c r="G6" s="40"/>
      <c r="H6" s="40"/>
      <c r="I6" s="40"/>
      <c r="J6" s="40"/>
      <c r="K6" s="40"/>
      <c r="L6" s="113"/>
    </row>
    <row r="7" spans="2:12" x14ac:dyDescent="0.25">
      <c r="B7" s="112"/>
      <c r="C7" s="40"/>
      <c r="D7" s="40"/>
      <c r="E7" s="40"/>
      <c r="F7" s="40"/>
      <c r="G7" s="40"/>
      <c r="H7" s="40"/>
      <c r="I7" s="40"/>
      <c r="J7" s="40"/>
      <c r="K7" s="40"/>
      <c r="L7" s="113"/>
    </row>
    <row r="8" spans="2:12" x14ac:dyDescent="0.25">
      <c r="B8" s="112"/>
      <c r="C8" s="40"/>
      <c r="D8" s="40"/>
      <c r="E8" s="40"/>
      <c r="F8" s="40"/>
      <c r="G8" s="40"/>
      <c r="H8" s="40"/>
      <c r="I8" s="40"/>
      <c r="J8" s="40"/>
      <c r="K8" s="40"/>
      <c r="L8" s="113"/>
    </row>
    <row r="9" spans="2:12" x14ac:dyDescent="0.25">
      <c r="B9" s="112"/>
      <c r="C9" s="40"/>
      <c r="D9" s="40"/>
      <c r="E9" s="40"/>
      <c r="F9" s="40"/>
      <c r="G9" s="40"/>
      <c r="H9" s="40"/>
      <c r="I9" s="40"/>
      <c r="J9" s="40"/>
      <c r="K9" s="40"/>
      <c r="L9" s="113"/>
    </row>
    <row r="10" spans="2:12" x14ac:dyDescent="0.25">
      <c r="B10" s="112"/>
      <c r="C10" s="40"/>
      <c r="D10" s="40"/>
      <c r="E10" s="40"/>
      <c r="F10" s="40"/>
      <c r="G10" s="40"/>
      <c r="H10" s="40"/>
      <c r="I10" s="40"/>
      <c r="J10" s="40"/>
      <c r="K10" s="40"/>
      <c r="L10" s="113"/>
    </row>
    <row r="11" spans="2:12" x14ac:dyDescent="0.25">
      <c r="B11" s="112"/>
      <c r="C11" s="40"/>
      <c r="D11" s="40"/>
      <c r="E11" s="40"/>
      <c r="F11" s="40"/>
      <c r="G11" s="40"/>
      <c r="H11" s="40"/>
      <c r="I11" s="40"/>
      <c r="J11" s="40"/>
      <c r="K11" s="40"/>
      <c r="L11" s="113"/>
    </row>
    <row r="12" spans="2:12" x14ac:dyDescent="0.25">
      <c r="B12" s="112"/>
      <c r="C12" s="40"/>
      <c r="D12" s="40"/>
      <c r="E12" s="40"/>
      <c r="F12" s="40"/>
      <c r="G12" s="40"/>
      <c r="H12" s="40"/>
      <c r="I12" s="40"/>
      <c r="J12" s="40"/>
      <c r="K12" s="40"/>
      <c r="L12" s="113"/>
    </row>
    <row r="13" spans="2:12" x14ac:dyDescent="0.25">
      <c r="B13" s="112"/>
      <c r="C13" s="40"/>
      <c r="D13" s="40"/>
      <c r="E13" s="40"/>
      <c r="F13" s="40"/>
      <c r="G13" s="40"/>
      <c r="H13" s="40"/>
      <c r="I13" s="40"/>
      <c r="J13" s="40"/>
      <c r="K13" s="40"/>
      <c r="L13" s="113"/>
    </row>
    <row r="14" spans="2:12" x14ac:dyDescent="0.25">
      <c r="B14" s="112"/>
      <c r="C14" s="40"/>
      <c r="D14" s="40"/>
      <c r="E14" s="40"/>
      <c r="F14" s="40"/>
      <c r="G14" s="40"/>
      <c r="H14" s="40"/>
      <c r="I14" s="40"/>
      <c r="J14" s="40"/>
      <c r="K14" s="40"/>
      <c r="L14" s="113"/>
    </row>
    <row r="15" spans="2:12" x14ac:dyDescent="0.25">
      <c r="B15" s="112"/>
      <c r="C15" s="40"/>
      <c r="D15" s="40"/>
      <c r="E15" s="40"/>
      <c r="F15" s="40"/>
      <c r="G15" s="40"/>
      <c r="H15" s="40"/>
      <c r="I15" s="40"/>
      <c r="J15" s="40"/>
      <c r="K15" s="40"/>
      <c r="L15" s="113"/>
    </row>
    <row r="16" spans="2:12" x14ac:dyDescent="0.25">
      <c r="B16" s="112"/>
      <c r="C16" s="40"/>
      <c r="D16" s="40"/>
      <c r="E16" s="40"/>
      <c r="F16" s="40"/>
      <c r="G16" s="40"/>
      <c r="H16" s="40"/>
      <c r="I16" s="40"/>
      <c r="J16" s="40"/>
      <c r="K16" s="40"/>
      <c r="L16" s="113"/>
    </row>
    <row r="17" spans="2:12" x14ac:dyDescent="0.25">
      <c r="B17" s="112"/>
      <c r="C17" s="40"/>
      <c r="D17" s="40"/>
      <c r="E17" s="40"/>
      <c r="F17" s="40"/>
      <c r="G17" s="40"/>
      <c r="H17" s="40"/>
      <c r="I17" s="40"/>
      <c r="J17" s="40"/>
      <c r="K17" s="40"/>
      <c r="L17" s="113"/>
    </row>
    <row r="18" spans="2:12" x14ac:dyDescent="0.25">
      <c r="B18" s="112"/>
      <c r="C18" s="40"/>
      <c r="D18" s="40"/>
      <c r="E18" s="40"/>
      <c r="F18" s="40"/>
      <c r="G18" s="40"/>
      <c r="H18" s="40"/>
      <c r="I18" s="40"/>
      <c r="J18" s="40"/>
      <c r="K18" s="40"/>
      <c r="L18" s="113"/>
    </row>
    <row r="19" spans="2:12" x14ac:dyDescent="0.25">
      <c r="B19" s="112"/>
      <c r="C19" s="40"/>
      <c r="D19" s="40"/>
      <c r="E19" s="40"/>
      <c r="F19" s="40"/>
      <c r="G19" s="40"/>
      <c r="H19" s="40"/>
      <c r="I19" s="40"/>
      <c r="J19" s="40"/>
      <c r="K19" s="40"/>
      <c r="L19" s="113"/>
    </row>
    <row r="20" spans="2:12" x14ac:dyDescent="0.25">
      <c r="B20" s="112"/>
      <c r="C20" s="40"/>
      <c r="D20" s="40"/>
      <c r="E20" s="40"/>
      <c r="F20" s="40"/>
      <c r="G20" s="40"/>
      <c r="H20" s="40"/>
      <c r="I20" s="40"/>
      <c r="J20" s="40"/>
      <c r="K20" s="40"/>
      <c r="L20" s="113"/>
    </row>
    <row r="21" spans="2:12" x14ac:dyDescent="0.25">
      <c r="B21" s="112"/>
      <c r="C21" s="40"/>
      <c r="D21" s="40"/>
      <c r="E21" s="40"/>
      <c r="F21" s="40"/>
      <c r="G21" s="40"/>
      <c r="H21" s="40"/>
      <c r="I21" s="40"/>
      <c r="J21" s="40"/>
      <c r="K21" s="40"/>
      <c r="L21" s="113"/>
    </row>
    <row r="22" spans="2:12" x14ac:dyDescent="0.25">
      <c r="B22" s="112"/>
      <c r="C22" s="40"/>
      <c r="D22" s="40"/>
      <c r="E22" s="40"/>
      <c r="F22" s="40"/>
      <c r="G22" s="40"/>
      <c r="H22" s="40"/>
      <c r="I22" s="40"/>
      <c r="J22" s="40"/>
      <c r="K22" s="40"/>
      <c r="L22" s="113"/>
    </row>
    <row r="23" spans="2:12" x14ac:dyDescent="0.25">
      <c r="B23" s="112"/>
      <c r="C23" s="40"/>
      <c r="D23" s="40"/>
      <c r="E23" s="40"/>
      <c r="F23" s="40"/>
      <c r="G23" s="40"/>
      <c r="H23" s="40"/>
      <c r="I23" s="40"/>
      <c r="J23" s="40"/>
      <c r="K23" s="40"/>
      <c r="L23" s="113"/>
    </row>
    <row r="24" spans="2:12" x14ac:dyDescent="0.25">
      <c r="B24" s="112"/>
      <c r="C24" s="40"/>
      <c r="D24" s="40"/>
      <c r="E24" s="40"/>
      <c r="F24" s="40"/>
      <c r="G24" s="40"/>
      <c r="H24" s="40"/>
      <c r="I24" s="40"/>
      <c r="J24" s="40"/>
      <c r="K24" s="40"/>
      <c r="L24" s="113"/>
    </row>
    <row r="25" spans="2:12" x14ac:dyDescent="0.25">
      <c r="B25" s="112"/>
      <c r="C25" s="40"/>
      <c r="D25" s="40"/>
      <c r="E25" s="40"/>
      <c r="F25" s="40"/>
      <c r="G25" s="40"/>
      <c r="H25" s="40"/>
      <c r="I25" s="40"/>
      <c r="J25" s="40"/>
      <c r="K25" s="40"/>
      <c r="L25" s="113"/>
    </row>
    <row r="26" spans="2:12" x14ac:dyDescent="0.25">
      <c r="B26" s="112"/>
      <c r="C26" s="40"/>
      <c r="D26" s="40"/>
      <c r="E26" s="40"/>
      <c r="F26" s="40"/>
      <c r="G26" s="40"/>
      <c r="H26" s="40"/>
      <c r="I26" s="40"/>
      <c r="J26" s="40"/>
      <c r="K26" s="40"/>
      <c r="L26" s="113"/>
    </row>
    <row r="27" spans="2:12" x14ac:dyDescent="0.25">
      <c r="B27" s="112"/>
      <c r="C27" s="40"/>
      <c r="D27" s="40"/>
      <c r="E27" s="40"/>
      <c r="F27" s="40"/>
      <c r="G27" s="40"/>
      <c r="H27" s="40"/>
      <c r="I27" s="40"/>
      <c r="J27" s="40"/>
      <c r="K27" s="40"/>
      <c r="L27" s="113"/>
    </row>
    <row r="28" spans="2:12" x14ac:dyDescent="0.25">
      <c r="B28" s="112"/>
      <c r="C28" s="40"/>
      <c r="D28" s="40"/>
      <c r="E28" s="40"/>
      <c r="F28" s="40"/>
      <c r="G28" s="40"/>
      <c r="H28" s="40"/>
      <c r="I28" s="40"/>
      <c r="J28" s="40"/>
      <c r="K28" s="40"/>
      <c r="L28" s="113"/>
    </row>
    <row r="29" spans="2:12" x14ac:dyDescent="0.25">
      <c r="B29" s="112"/>
      <c r="C29" s="40"/>
      <c r="D29" s="40"/>
      <c r="E29" s="40"/>
      <c r="F29" s="40"/>
      <c r="G29" s="40"/>
      <c r="H29" s="40"/>
      <c r="I29" s="40"/>
      <c r="J29" s="40"/>
      <c r="K29" s="40"/>
      <c r="L29" s="113"/>
    </row>
    <row r="30" spans="2:12" x14ac:dyDescent="0.25">
      <c r="B30" s="112"/>
      <c r="C30" s="40"/>
      <c r="D30" s="40"/>
      <c r="E30" s="40"/>
      <c r="F30" s="40"/>
      <c r="G30" s="40"/>
      <c r="H30" s="40"/>
      <c r="I30" s="40"/>
      <c r="J30" s="40"/>
      <c r="K30" s="40"/>
      <c r="L30" s="113"/>
    </row>
    <row r="31" spans="2:12" x14ac:dyDescent="0.25">
      <c r="B31" s="112"/>
      <c r="C31" s="40"/>
      <c r="D31" s="40"/>
      <c r="E31" s="40"/>
      <c r="F31" s="40"/>
      <c r="G31" s="40"/>
      <c r="H31" s="40"/>
      <c r="I31" s="40"/>
      <c r="J31" s="40"/>
      <c r="K31" s="40"/>
      <c r="L31" s="113"/>
    </row>
    <row r="32" spans="2:12" x14ac:dyDescent="0.25">
      <c r="B32" s="112"/>
      <c r="C32" s="40"/>
      <c r="D32" s="40"/>
      <c r="E32" s="40"/>
      <c r="F32" s="40"/>
      <c r="G32" s="40"/>
      <c r="H32" s="40"/>
      <c r="I32" s="40"/>
      <c r="J32" s="40"/>
      <c r="K32" s="40"/>
      <c r="L32" s="113"/>
    </row>
    <row r="33" spans="2:12" ht="15.75" thickBot="1" x14ac:dyDescent="0.3">
      <c r="B33" s="112"/>
      <c r="C33" s="40"/>
      <c r="D33" s="40"/>
      <c r="E33" s="40"/>
      <c r="F33" s="40"/>
      <c r="G33" s="40"/>
      <c r="H33" s="40"/>
      <c r="I33" s="40"/>
      <c r="J33" s="40"/>
      <c r="K33" s="40"/>
      <c r="L33" s="113"/>
    </row>
    <row r="34" spans="2:12" ht="19.5" thickBot="1" x14ac:dyDescent="0.35">
      <c r="B34" s="141" t="s">
        <v>165</v>
      </c>
      <c r="C34" s="139"/>
      <c r="D34" s="139"/>
      <c r="E34" s="139"/>
      <c r="F34" s="139"/>
      <c r="G34" s="139"/>
      <c r="H34" s="139"/>
      <c r="I34" s="139"/>
      <c r="J34" s="139"/>
      <c r="K34" s="139"/>
      <c r="L34" s="142"/>
    </row>
    <row r="35" spans="2:12" ht="15.75" x14ac:dyDescent="0.25">
      <c r="B35" s="114"/>
      <c r="C35" s="143" t="s">
        <v>4</v>
      </c>
      <c r="D35" s="143"/>
      <c r="E35" s="143"/>
      <c r="F35" s="143" t="s">
        <v>166</v>
      </c>
      <c r="G35" s="143"/>
      <c r="H35" s="143"/>
      <c r="I35" s="143" t="s">
        <v>167</v>
      </c>
      <c r="J35" s="143"/>
      <c r="K35" s="143"/>
      <c r="L35" s="115"/>
    </row>
    <row r="36" spans="2:12" x14ac:dyDescent="0.25">
      <c r="B36" s="114"/>
      <c r="C36" s="136" t="str">
        <f>IF(OR(AL199="",AL199="Grand total"),"",AL199)</f>
        <v>Sudhakar Sumaithangi</v>
      </c>
      <c r="D36" s="136"/>
      <c r="E36" s="136"/>
      <c r="F36" s="137">
        <f>IF(C36="","",AM199)</f>
        <v>180</v>
      </c>
      <c r="G36" s="137"/>
      <c r="H36" s="137"/>
      <c r="I36" s="137">
        <f>IF(C36="","",AN199)</f>
        <v>172</v>
      </c>
      <c r="J36" s="137"/>
      <c r="K36" s="137"/>
      <c r="L36" s="115"/>
    </row>
    <row r="37" spans="2:12" x14ac:dyDescent="0.25">
      <c r="B37" s="114"/>
      <c r="C37" s="136" t="str">
        <f t="shared" ref="C37:C100" si="0">IF(OR(AL200="",AL200="Grand total"),"",AL200)</f>
        <v>Sreekanth Grandhi</v>
      </c>
      <c r="D37" s="136"/>
      <c r="E37" s="136"/>
      <c r="F37" s="137">
        <f t="shared" ref="F37:F100" si="1">IF(C37="","",AM200)</f>
        <v>174</v>
      </c>
      <c r="G37" s="137"/>
      <c r="H37" s="137"/>
      <c r="I37" s="137">
        <f t="shared" ref="I37:I100" si="2">IF(C37="","",AN200)</f>
        <v>170</v>
      </c>
      <c r="J37" s="137"/>
      <c r="K37" s="137"/>
      <c r="L37" s="115"/>
    </row>
    <row r="38" spans="2:12" x14ac:dyDescent="0.25">
      <c r="B38" s="114"/>
      <c r="C38" s="136" t="str">
        <f t="shared" si="0"/>
        <v>Giridhar</v>
      </c>
      <c r="D38" s="136"/>
      <c r="E38" s="136"/>
      <c r="F38" s="137">
        <f t="shared" si="1"/>
        <v>181</v>
      </c>
      <c r="G38" s="137"/>
      <c r="H38" s="137"/>
      <c r="I38" s="137">
        <f t="shared" si="2"/>
        <v>175</v>
      </c>
      <c r="J38" s="137"/>
      <c r="K38" s="137"/>
      <c r="L38" s="115"/>
    </row>
    <row r="39" spans="2:12" x14ac:dyDescent="0.25">
      <c r="B39" s="114"/>
      <c r="C39" s="136" t="str">
        <f t="shared" si="0"/>
        <v>Sankar Rajaraman</v>
      </c>
      <c r="D39" s="136"/>
      <c r="E39" s="136"/>
      <c r="F39" s="137">
        <f t="shared" si="1"/>
        <v>179</v>
      </c>
      <c r="G39" s="137"/>
      <c r="H39" s="137"/>
      <c r="I39" s="137">
        <f t="shared" si="2"/>
        <v>175</v>
      </c>
      <c r="J39" s="137"/>
      <c r="K39" s="137"/>
      <c r="L39" s="115"/>
    </row>
    <row r="40" spans="2:12" x14ac:dyDescent="0.25">
      <c r="B40" s="114"/>
      <c r="C40" s="136" t="str">
        <f t="shared" si="0"/>
        <v>Kaushik C</v>
      </c>
      <c r="D40" s="136"/>
      <c r="E40" s="136"/>
      <c r="F40" s="137">
        <f t="shared" si="1"/>
        <v>325</v>
      </c>
      <c r="G40" s="137"/>
      <c r="H40" s="137"/>
      <c r="I40" s="137">
        <f t="shared" si="2"/>
        <v>305</v>
      </c>
      <c r="J40" s="137"/>
      <c r="K40" s="137"/>
      <c r="L40" s="115"/>
    </row>
    <row r="41" spans="2:12" x14ac:dyDescent="0.25">
      <c r="B41" s="114"/>
      <c r="C41" s="136" t="str">
        <f t="shared" si="0"/>
        <v>Palraj A</v>
      </c>
      <c r="D41" s="136"/>
      <c r="E41" s="136"/>
      <c r="F41" s="137">
        <f t="shared" si="1"/>
        <v>326</v>
      </c>
      <c r="G41" s="137"/>
      <c r="H41" s="137"/>
      <c r="I41" s="137">
        <f t="shared" si="2"/>
        <v>317</v>
      </c>
      <c r="J41" s="137"/>
      <c r="K41" s="137"/>
      <c r="L41" s="115"/>
    </row>
    <row r="42" spans="2:12" x14ac:dyDescent="0.25">
      <c r="B42" s="114"/>
      <c r="C42" s="136" t="str">
        <f t="shared" si="0"/>
        <v>Vasudev A</v>
      </c>
      <c r="D42" s="136"/>
      <c r="E42" s="136"/>
      <c r="F42" s="137">
        <f t="shared" si="1"/>
        <v>330</v>
      </c>
      <c r="G42" s="137"/>
      <c r="H42" s="137"/>
      <c r="I42" s="137">
        <f t="shared" si="2"/>
        <v>310</v>
      </c>
      <c r="J42" s="137"/>
      <c r="K42" s="137"/>
      <c r="L42" s="115"/>
    </row>
    <row r="43" spans="2:12" x14ac:dyDescent="0.25">
      <c r="B43" s="114"/>
      <c r="C43" s="136" t="str">
        <f t="shared" si="0"/>
        <v>Kumanan</v>
      </c>
      <c r="D43" s="136"/>
      <c r="E43" s="136"/>
      <c r="F43" s="137">
        <f t="shared" si="1"/>
        <v>335</v>
      </c>
      <c r="G43" s="137"/>
      <c r="H43" s="137"/>
      <c r="I43" s="137">
        <f t="shared" si="2"/>
        <v>350</v>
      </c>
      <c r="J43" s="137"/>
      <c r="K43" s="137"/>
      <c r="L43" s="115"/>
    </row>
    <row r="44" spans="2:12" x14ac:dyDescent="0.25">
      <c r="B44" s="114"/>
      <c r="C44" s="136" t="str">
        <f t="shared" si="0"/>
        <v>Mohamed Idris P</v>
      </c>
      <c r="D44" s="136"/>
      <c r="E44" s="136"/>
      <c r="F44" s="137">
        <f t="shared" si="1"/>
        <v>361</v>
      </c>
      <c r="G44" s="137"/>
      <c r="H44" s="137"/>
      <c r="I44" s="137">
        <f t="shared" si="2"/>
        <v>348</v>
      </c>
      <c r="J44" s="137"/>
      <c r="K44" s="137"/>
      <c r="L44" s="115"/>
    </row>
    <row r="45" spans="2:12" x14ac:dyDescent="0.25">
      <c r="B45" s="114"/>
      <c r="C45" s="136" t="str">
        <f t="shared" si="0"/>
        <v>Thangamani S</v>
      </c>
      <c r="D45" s="136"/>
      <c r="E45" s="136"/>
      <c r="F45" s="137">
        <f t="shared" si="1"/>
        <v>321</v>
      </c>
      <c r="G45" s="137"/>
      <c r="H45" s="137"/>
      <c r="I45" s="137">
        <f t="shared" si="2"/>
        <v>320</v>
      </c>
      <c r="J45" s="137"/>
      <c r="K45" s="137"/>
      <c r="L45" s="115"/>
    </row>
    <row r="46" spans="2:12" x14ac:dyDescent="0.25">
      <c r="B46" s="114"/>
      <c r="C46" s="136" t="str">
        <f t="shared" si="0"/>
        <v>Sudhakar B</v>
      </c>
      <c r="D46" s="136"/>
      <c r="E46" s="136"/>
      <c r="F46" s="137">
        <f t="shared" si="1"/>
        <v>170</v>
      </c>
      <c r="G46" s="137"/>
      <c r="H46" s="137"/>
      <c r="I46" s="137">
        <f t="shared" si="2"/>
        <v>165</v>
      </c>
      <c r="J46" s="137"/>
      <c r="K46" s="137"/>
      <c r="L46" s="115"/>
    </row>
    <row r="47" spans="2:12" x14ac:dyDescent="0.25">
      <c r="B47" s="114"/>
      <c r="C47" s="136" t="str">
        <f t="shared" si="0"/>
        <v>Yogesh R</v>
      </c>
      <c r="D47" s="136"/>
      <c r="E47" s="136"/>
      <c r="F47" s="137">
        <f t="shared" si="1"/>
        <v>368</v>
      </c>
      <c r="G47" s="137"/>
      <c r="H47" s="137"/>
      <c r="I47" s="137">
        <f t="shared" si="2"/>
        <v>340</v>
      </c>
      <c r="J47" s="137"/>
      <c r="K47" s="137"/>
      <c r="L47" s="115"/>
    </row>
    <row r="48" spans="2:12" x14ac:dyDescent="0.25">
      <c r="B48" s="114"/>
      <c r="C48" s="136" t="str">
        <f t="shared" si="0"/>
        <v>Karthikeyan Shanmugam</v>
      </c>
      <c r="D48" s="136"/>
      <c r="E48" s="136"/>
      <c r="F48" s="137">
        <f t="shared" si="1"/>
        <v>352</v>
      </c>
      <c r="G48" s="137"/>
      <c r="H48" s="137"/>
      <c r="I48" s="137">
        <f t="shared" si="2"/>
        <v>335</v>
      </c>
      <c r="J48" s="137"/>
      <c r="K48" s="137"/>
      <c r="L48" s="115"/>
    </row>
    <row r="49" spans="2:12" x14ac:dyDescent="0.25">
      <c r="B49" s="114"/>
      <c r="C49" s="136" t="str">
        <f t="shared" si="0"/>
        <v>Navyasree C</v>
      </c>
      <c r="D49" s="136"/>
      <c r="E49" s="136"/>
      <c r="F49" s="137">
        <f t="shared" si="1"/>
        <v>175</v>
      </c>
      <c r="G49" s="137"/>
      <c r="H49" s="137"/>
      <c r="I49" s="137">
        <f t="shared" si="2"/>
        <v>175</v>
      </c>
      <c r="J49" s="137"/>
      <c r="K49" s="137"/>
      <c r="L49" s="115"/>
    </row>
    <row r="50" spans="2:12" x14ac:dyDescent="0.25">
      <c r="B50" s="114"/>
      <c r="C50" s="136" t="str">
        <f t="shared" si="0"/>
        <v>G Ramalinngam</v>
      </c>
      <c r="D50" s="136"/>
      <c r="E50" s="136"/>
      <c r="F50" s="137">
        <f t="shared" si="1"/>
        <v>180</v>
      </c>
      <c r="G50" s="137"/>
      <c r="H50" s="137"/>
      <c r="I50" s="137">
        <f t="shared" si="2"/>
        <v>180</v>
      </c>
      <c r="J50" s="137"/>
      <c r="K50" s="137"/>
      <c r="L50" s="115"/>
    </row>
    <row r="51" spans="2:12" x14ac:dyDescent="0.25">
      <c r="B51" s="114"/>
      <c r="C51" s="136" t="str">
        <f t="shared" si="0"/>
        <v>Nilesh Kumar</v>
      </c>
      <c r="D51" s="136"/>
      <c r="E51" s="136"/>
      <c r="F51" s="137">
        <f t="shared" si="1"/>
        <v>181</v>
      </c>
      <c r="G51" s="137"/>
      <c r="H51" s="137"/>
      <c r="I51" s="137">
        <f t="shared" si="2"/>
        <v>179</v>
      </c>
      <c r="J51" s="137"/>
      <c r="K51" s="137"/>
      <c r="L51" s="115"/>
    </row>
    <row r="52" spans="2:12" x14ac:dyDescent="0.25">
      <c r="B52" s="114"/>
      <c r="C52" s="136" t="str">
        <f t="shared" si="0"/>
        <v>Sriharish Ramesh</v>
      </c>
      <c r="D52" s="136"/>
      <c r="E52" s="136"/>
      <c r="F52" s="137">
        <f t="shared" si="1"/>
        <v>180</v>
      </c>
      <c r="G52" s="137"/>
      <c r="H52" s="137"/>
      <c r="I52" s="137">
        <f t="shared" si="2"/>
        <v>176</v>
      </c>
      <c r="J52" s="137"/>
      <c r="K52" s="137"/>
      <c r="L52" s="115"/>
    </row>
    <row r="53" spans="2:12" x14ac:dyDescent="0.25">
      <c r="B53" s="114"/>
      <c r="C53" s="136" t="str">
        <f t="shared" si="0"/>
        <v>Srividhya R</v>
      </c>
      <c r="D53" s="136"/>
      <c r="E53" s="136"/>
      <c r="F53" s="137">
        <f t="shared" si="1"/>
        <v>179</v>
      </c>
      <c r="G53" s="137"/>
      <c r="H53" s="137"/>
      <c r="I53" s="137">
        <f t="shared" si="2"/>
        <v>179</v>
      </c>
      <c r="J53" s="137"/>
      <c r="K53" s="137"/>
      <c r="L53" s="115"/>
    </row>
    <row r="54" spans="2:12" x14ac:dyDescent="0.25">
      <c r="B54" s="114"/>
      <c r="C54" s="136" t="str">
        <f t="shared" si="0"/>
        <v>Sangilimurugan</v>
      </c>
      <c r="D54" s="136"/>
      <c r="E54" s="136"/>
      <c r="F54" s="137">
        <f t="shared" si="1"/>
        <v>170</v>
      </c>
      <c r="G54" s="137"/>
      <c r="H54" s="137"/>
      <c r="I54" s="137">
        <f t="shared" si="2"/>
        <v>170</v>
      </c>
      <c r="J54" s="137"/>
      <c r="K54" s="137"/>
      <c r="L54" s="115"/>
    </row>
    <row r="55" spans="2:12" x14ac:dyDescent="0.25">
      <c r="B55" s="114"/>
      <c r="C55" s="136" t="str">
        <f t="shared" si="0"/>
        <v>Diwakar S</v>
      </c>
      <c r="D55" s="136"/>
      <c r="E55" s="136"/>
      <c r="F55" s="137">
        <f t="shared" si="1"/>
        <v>178</v>
      </c>
      <c r="G55" s="137"/>
      <c r="H55" s="137"/>
      <c r="I55" s="137">
        <f t="shared" si="2"/>
        <v>175</v>
      </c>
      <c r="J55" s="137"/>
      <c r="K55" s="137"/>
      <c r="L55" s="115"/>
    </row>
    <row r="56" spans="2:12" x14ac:dyDescent="0.25">
      <c r="B56" s="114"/>
      <c r="C56" s="136" t="str">
        <f t="shared" si="0"/>
        <v>T Lakshmi Priya</v>
      </c>
      <c r="D56" s="136"/>
      <c r="E56" s="136"/>
      <c r="F56" s="137">
        <f t="shared" si="1"/>
        <v>186</v>
      </c>
      <c r="G56" s="137"/>
      <c r="H56" s="137"/>
      <c r="I56" s="137">
        <f t="shared" si="2"/>
        <v>183</v>
      </c>
      <c r="J56" s="137"/>
      <c r="K56" s="137"/>
      <c r="L56" s="115"/>
    </row>
    <row r="57" spans="2:12" x14ac:dyDescent="0.25">
      <c r="B57" s="114"/>
      <c r="C57" s="136" t="str">
        <f t="shared" si="0"/>
        <v>Deepak nair</v>
      </c>
      <c r="D57" s="136"/>
      <c r="E57" s="136"/>
      <c r="F57" s="137">
        <f t="shared" si="1"/>
        <v>165</v>
      </c>
      <c r="G57" s="137"/>
      <c r="H57" s="137"/>
      <c r="I57" s="137">
        <f t="shared" si="2"/>
        <v>159</v>
      </c>
      <c r="J57" s="137"/>
      <c r="K57" s="137"/>
      <c r="L57" s="115"/>
    </row>
    <row r="58" spans="2:12" x14ac:dyDescent="0.25">
      <c r="B58" s="114"/>
      <c r="C58" s="136" t="str">
        <f t="shared" si="0"/>
        <v>S Balaji</v>
      </c>
      <c r="D58" s="136"/>
      <c r="E58" s="136"/>
      <c r="F58" s="137">
        <f t="shared" si="1"/>
        <v>170</v>
      </c>
      <c r="G58" s="137"/>
      <c r="H58" s="137"/>
      <c r="I58" s="137">
        <f t="shared" si="2"/>
        <v>165</v>
      </c>
      <c r="J58" s="137"/>
      <c r="K58" s="137"/>
      <c r="L58" s="115"/>
    </row>
    <row r="59" spans="2:12" x14ac:dyDescent="0.25">
      <c r="B59" s="114"/>
      <c r="C59" s="136" t="str">
        <f t="shared" si="0"/>
        <v>Prashant S</v>
      </c>
      <c r="D59" s="136"/>
      <c r="E59" s="136"/>
      <c r="F59" s="137">
        <f t="shared" si="1"/>
        <v>156</v>
      </c>
      <c r="G59" s="137"/>
      <c r="H59" s="137"/>
      <c r="I59" s="137">
        <f t="shared" si="2"/>
        <v>156</v>
      </c>
      <c r="J59" s="137"/>
      <c r="K59" s="137"/>
      <c r="L59" s="115"/>
    </row>
    <row r="60" spans="2:12" x14ac:dyDescent="0.25">
      <c r="B60" s="114"/>
      <c r="C60" s="136" t="str">
        <f t="shared" si="0"/>
        <v>Prasannakumar Reddy Y</v>
      </c>
      <c r="D60" s="136"/>
      <c r="E60" s="136"/>
      <c r="F60" s="137">
        <f t="shared" si="1"/>
        <v>177</v>
      </c>
      <c r="G60" s="137"/>
      <c r="H60" s="137"/>
      <c r="I60" s="137">
        <f t="shared" si="2"/>
        <v>175</v>
      </c>
      <c r="J60" s="137"/>
      <c r="K60" s="137"/>
      <c r="L60" s="115"/>
    </row>
    <row r="61" spans="2:12" x14ac:dyDescent="0.25">
      <c r="B61" s="114"/>
      <c r="C61" s="136" t="str">
        <f t="shared" si="0"/>
        <v>Venkatesh P</v>
      </c>
      <c r="D61" s="136"/>
      <c r="E61" s="136"/>
      <c r="F61" s="137">
        <f t="shared" si="1"/>
        <v>163</v>
      </c>
      <c r="G61" s="137"/>
      <c r="H61" s="137"/>
      <c r="I61" s="137">
        <f t="shared" si="2"/>
        <v>160</v>
      </c>
      <c r="J61" s="137"/>
      <c r="K61" s="137"/>
      <c r="L61" s="115"/>
    </row>
    <row r="62" spans="2:12" x14ac:dyDescent="0.25">
      <c r="B62" s="114"/>
      <c r="C62" s="136" t="str">
        <f t="shared" si="0"/>
        <v>Puneet S</v>
      </c>
      <c r="D62" s="136"/>
      <c r="E62" s="136"/>
      <c r="F62" s="137">
        <f t="shared" si="1"/>
        <v>177</v>
      </c>
      <c r="G62" s="137"/>
      <c r="H62" s="137"/>
      <c r="I62" s="137">
        <f t="shared" si="2"/>
        <v>175</v>
      </c>
      <c r="J62" s="137"/>
      <c r="K62" s="137"/>
      <c r="L62" s="115"/>
    </row>
    <row r="63" spans="2:12" x14ac:dyDescent="0.25">
      <c r="B63" s="114"/>
      <c r="C63" s="136" t="str">
        <f t="shared" si="0"/>
        <v>Raj Hans</v>
      </c>
      <c r="D63" s="136"/>
      <c r="E63" s="136"/>
      <c r="F63" s="137">
        <f t="shared" si="1"/>
        <v>163</v>
      </c>
      <c r="G63" s="137"/>
      <c r="H63" s="137"/>
      <c r="I63" s="137">
        <f t="shared" si="2"/>
        <v>160</v>
      </c>
      <c r="J63" s="137"/>
      <c r="K63" s="137"/>
      <c r="L63" s="115"/>
    </row>
    <row r="64" spans="2:12" x14ac:dyDescent="0.25">
      <c r="B64" s="114"/>
      <c r="C64" s="136" t="str">
        <f t="shared" si="0"/>
        <v>Padachala Mohan</v>
      </c>
      <c r="D64" s="136"/>
      <c r="E64" s="136"/>
      <c r="F64" s="137">
        <f t="shared" si="1"/>
        <v>177</v>
      </c>
      <c r="G64" s="137"/>
      <c r="H64" s="137"/>
      <c r="I64" s="137">
        <f t="shared" si="2"/>
        <v>175</v>
      </c>
      <c r="J64" s="137"/>
      <c r="K64" s="137"/>
      <c r="L64" s="115"/>
    </row>
    <row r="65" spans="2:12" x14ac:dyDescent="0.25">
      <c r="B65" s="114"/>
      <c r="C65" s="136" t="str">
        <f t="shared" si="0"/>
        <v>Itisree</v>
      </c>
      <c r="D65" s="136"/>
      <c r="E65" s="136"/>
      <c r="F65" s="137">
        <f t="shared" si="1"/>
        <v>177</v>
      </c>
      <c r="G65" s="137"/>
      <c r="H65" s="137"/>
      <c r="I65" s="137">
        <f t="shared" si="2"/>
        <v>174</v>
      </c>
      <c r="J65" s="137"/>
      <c r="K65" s="137"/>
      <c r="L65" s="115"/>
    </row>
    <row r="66" spans="2:12" x14ac:dyDescent="0.25">
      <c r="B66" s="114"/>
      <c r="C66" s="136" t="str">
        <f t="shared" si="0"/>
        <v/>
      </c>
      <c r="D66" s="136"/>
      <c r="E66" s="136"/>
      <c r="F66" s="137" t="str">
        <f t="shared" si="1"/>
        <v/>
      </c>
      <c r="G66" s="137"/>
      <c r="H66" s="137"/>
      <c r="I66" s="137" t="str">
        <f t="shared" si="2"/>
        <v/>
      </c>
      <c r="J66" s="137"/>
      <c r="K66" s="137"/>
      <c r="L66" s="115"/>
    </row>
    <row r="67" spans="2:12" x14ac:dyDescent="0.25">
      <c r="B67" s="114"/>
      <c r="C67" s="136" t="str">
        <f t="shared" si="0"/>
        <v/>
      </c>
      <c r="D67" s="136"/>
      <c r="E67" s="136"/>
      <c r="F67" s="137" t="str">
        <f t="shared" si="1"/>
        <v/>
      </c>
      <c r="G67" s="137"/>
      <c r="H67" s="137"/>
      <c r="I67" s="137" t="str">
        <f t="shared" si="2"/>
        <v/>
      </c>
      <c r="J67" s="137"/>
      <c r="K67" s="137"/>
      <c r="L67" s="115"/>
    </row>
    <row r="68" spans="2:12" x14ac:dyDescent="0.25">
      <c r="B68" s="114"/>
      <c r="C68" s="136" t="str">
        <f t="shared" si="0"/>
        <v/>
      </c>
      <c r="D68" s="136"/>
      <c r="E68" s="136"/>
      <c r="F68" s="137" t="str">
        <f t="shared" si="1"/>
        <v/>
      </c>
      <c r="G68" s="137"/>
      <c r="H68" s="137"/>
      <c r="I68" s="137" t="str">
        <f t="shared" si="2"/>
        <v/>
      </c>
      <c r="J68" s="137"/>
      <c r="K68" s="137"/>
      <c r="L68" s="115"/>
    </row>
    <row r="69" spans="2:12" x14ac:dyDescent="0.25">
      <c r="B69" s="114"/>
      <c r="C69" s="136" t="str">
        <f t="shared" si="0"/>
        <v/>
      </c>
      <c r="D69" s="136"/>
      <c r="E69" s="136"/>
      <c r="F69" s="137" t="str">
        <f t="shared" si="1"/>
        <v/>
      </c>
      <c r="G69" s="137"/>
      <c r="H69" s="137"/>
      <c r="I69" s="137" t="str">
        <f t="shared" si="2"/>
        <v/>
      </c>
      <c r="J69" s="137"/>
      <c r="K69" s="137"/>
      <c r="L69" s="115"/>
    </row>
    <row r="70" spans="2:12" x14ac:dyDescent="0.25">
      <c r="B70" s="114"/>
      <c r="C70" s="136" t="str">
        <f t="shared" si="0"/>
        <v/>
      </c>
      <c r="D70" s="136"/>
      <c r="E70" s="136"/>
      <c r="F70" s="137" t="str">
        <f t="shared" si="1"/>
        <v/>
      </c>
      <c r="G70" s="137"/>
      <c r="H70" s="137"/>
      <c r="I70" s="137" t="str">
        <f t="shared" si="2"/>
        <v/>
      </c>
      <c r="J70" s="137"/>
      <c r="K70" s="137"/>
      <c r="L70" s="115"/>
    </row>
    <row r="71" spans="2:12" x14ac:dyDescent="0.25">
      <c r="B71" s="114"/>
      <c r="C71" s="136" t="str">
        <f t="shared" si="0"/>
        <v/>
      </c>
      <c r="D71" s="136"/>
      <c r="E71" s="136"/>
      <c r="F71" s="137" t="str">
        <f t="shared" si="1"/>
        <v/>
      </c>
      <c r="G71" s="137"/>
      <c r="H71" s="137"/>
      <c r="I71" s="137" t="str">
        <f t="shared" si="2"/>
        <v/>
      </c>
      <c r="J71" s="137"/>
      <c r="K71" s="137"/>
      <c r="L71" s="115"/>
    </row>
    <row r="72" spans="2:12" x14ac:dyDescent="0.25">
      <c r="B72" s="114"/>
      <c r="C72" s="136" t="str">
        <f t="shared" si="0"/>
        <v/>
      </c>
      <c r="D72" s="136"/>
      <c r="E72" s="136"/>
      <c r="F72" s="137" t="str">
        <f t="shared" si="1"/>
        <v/>
      </c>
      <c r="G72" s="137"/>
      <c r="H72" s="137"/>
      <c r="I72" s="137" t="str">
        <f t="shared" si="2"/>
        <v/>
      </c>
      <c r="J72" s="137"/>
      <c r="K72" s="137"/>
      <c r="L72" s="115"/>
    </row>
    <row r="73" spans="2:12" x14ac:dyDescent="0.25">
      <c r="B73" s="114"/>
      <c r="C73" s="136" t="str">
        <f t="shared" si="0"/>
        <v/>
      </c>
      <c r="D73" s="136"/>
      <c r="E73" s="136"/>
      <c r="F73" s="137" t="str">
        <f t="shared" si="1"/>
        <v/>
      </c>
      <c r="G73" s="137"/>
      <c r="H73" s="137"/>
      <c r="I73" s="137" t="str">
        <f t="shared" si="2"/>
        <v/>
      </c>
      <c r="J73" s="137"/>
      <c r="K73" s="137"/>
      <c r="L73" s="115"/>
    </row>
    <row r="74" spans="2:12" x14ac:dyDescent="0.25">
      <c r="B74" s="114"/>
      <c r="C74" s="136" t="str">
        <f t="shared" si="0"/>
        <v/>
      </c>
      <c r="D74" s="136"/>
      <c r="E74" s="136"/>
      <c r="F74" s="137" t="str">
        <f t="shared" si="1"/>
        <v/>
      </c>
      <c r="G74" s="137"/>
      <c r="H74" s="137"/>
      <c r="I74" s="137" t="str">
        <f t="shared" si="2"/>
        <v/>
      </c>
      <c r="J74" s="137"/>
      <c r="K74" s="137"/>
      <c r="L74" s="115"/>
    </row>
    <row r="75" spans="2:12" x14ac:dyDescent="0.25">
      <c r="B75" s="114"/>
      <c r="C75" s="136" t="str">
        <f t="shared" si="0"/>
        <v/>
      </c>
      <c r="D75" s="136"/>
      <c r="E75" s="136"/>
      <c r="F75" s="137" t="str">
        <f t="shared" si="1"/>
        <v/>
      </c>
      <c r="G75" s="137"/>
      <c r="H75" s="137"/>
      <c r="I75" s="137" t="str">
        <f t="shared" si="2"/>
        <v/>
      </c>
      <c r="J75" s="137"/>
      <c r="K75" s="137"/>
      <c r="L75" s="115"/>
    </row>
    <row r="76" spans="2:12" x14ac:dyDescent="0.25">
      <c r="B76" s="114"/>
      <c r="C76" s="136" t="str">
        <f t="shared" si="0"/>
        <v/>
      </c>
      <c r="D76" s="136"/>
      <c r="E76" s="136"/>
      <c r="F76" s="137" t="str">
        <f t="shared" si="1"/>
        <v/>
      </c>
      <c r="G76" s="137"/>
      <c r="H76" s="137"/>
      <c r="I76" s="137" t="str">
        <f t="shared" si="2"/>
        <v/>
      </c>
      <c r="J76" s="137"/>
      <c r="K76" s="137"/>
      <c r="L76" s="115"/>
    </row>
    <row r="77" spans="2:12" x14ac:dyDescent="0.25">
      <c r="B77" s="114"/>
      <c r="C77" s="136" t="str">
        <f t="shared" si="0"/>
        <v/>
      </c>
      <c r="D77" s="136"/>
      <c r="E77" s="136"/>
      <c r="F77" s="137" t="str">
        <f t="shared" si="1"/>
        <v/>
      </c>
      <c r="G77" s="137"/>
      <c r="H77" s="137"/>
      <c r="I77" s="137" t="str">
        <f t="shared" si="2"/>
        <v/>
      </c>
      <c r="J77" s="137"/>
      <c r="K77" s="137"/>
      <c r="L77" s="115"/>
    </row>
    <row r="78" spans="2:12" x14ac:dyDescent="0.25">
      <c r="B78" s="114"/>
      <c r="C78" s="136" t="str">
        <f t="shared" si="0"/>
        <v/>
      </c>
      <c r="D78" s="136"/>
      <c r="E78" s="136"/>
      <c r="F78" s="137" t="str">
        <f t="shared" si="1"/>
        <v/>
      </c>
      <c r="G78" s="137"/>
      <c r="H78" s="137"/>
      <c r="I78" s="137" t="str">
        <f t="shared" si="2"/>
        <v/>
      </c>
      <c r="J78" s="137"/>
      <c r="K78" s="137"/>
      <c r="L78" s="115"/>
    </row>
    <row r="79" spans="2:12" x14ac:dyDescent="0.25">
      <c r="B79" s="114"/>
      <c r="C79" s="136" t="str">
        <f t="shared" si="0"/>
        <v/>
      </c>
      <c r="D79" s="136"/>
      <c r="E79" s="136"/>
      <c r="F79" s="137" t="str">
        <f t="shared" si="1"/>
        <v/>
      </c>
      <c r="G79" s="137"/>
      <c r="H79" s="137"/>
      <c r="I79" s="137" t="str">
        <f t="shared" si="2"/>
        <v/>
      </c>
      <c r="J79" s="137"/>
      <c r="K79" s="137"/>
      <c r="L79" s="115"/>
    </row>
    <row r="80" spans="2:12" x14ac:dyDescent="0.25">
      <c r="B80" s="114"/>
      <c r="C80" s="136" t="str">
        <f t="shared" si="0"/>
        <v/>
      </c>
      <c r="D80" s="136"/>
      <c r="E80" s="136"/>
      <c r="F80" s="137" t="str">
        <f t="shared" si="1"/>
        <v/>
      </c>
      <c r="G80" s="137"/>
      <c r="H80" s="137"/>
      <c r="I80" s="137" t="str">
        <f t="shared" si="2"/>
        <v/>
      </c>
      <c r="J80" s="137"/>
      <c r="K80" s="137"/>
      <c r="L80" s="115"/>
    </row>
    <row r="81" spans="2:12" x14ac:dyDescent="0.25">
      <c r="B81" s="114"/>
      <c r="C81" s="136" t="str">
        <f t="shared" si="0"/>
        <v/>
      </c>
      <c r="D81" s="136"/>
      <c r="E81" s="136"/>
      <c r="F81" s="137" t="str">
        <f t="shared" si="1"/>
        <v/>
      </c>
      <c r="G81" s="137"/>
      <c r="H81" s="137"/>
      <c r="I81" s="137" t="str">
        <f t="shared" si="2"/>
        <v/>
      </c>
      <c r="J81" s="137"/>
      <c r="K81" s="137"/>
      <c r="L81" s="115"/>
    </row>
    <row r="82" spans="2:12" x14ac:dyDescent="0.25">
      <c r="B82" s="114"/>
      <c r="C82" s="136" t="str">
        <f t="shared" si="0"/>
        <v/>
      </c>
      <c r="D82" s="136"/>
      <c r="E82" s="136"/>
      <c r="F82" s="137" t="str">
        <f t="shared" si="1"/>
        <v/>
      </c>
      <c r="G82" s="137"/>
      <c r="H82" s="137"/>
      <c r="I82" s="137" t="str">
        <f t="shared" si="2"/>
        <v/>
      </c>
      <c r="J82" s="137"/>
      <c r="K82" s="137"/>
      <c r="L82" s="115"/>
    </row>
    <row r="83" spans="2:12" x14ac:dyDescent="0.25">
      <c r="B83" s="114"/>
      <c r="C83" s="136" t="str">
        <f t="shared" si="0"/>
        <v/>
      </c>
      <c r="D83" s="136"/>
      <c r="E83" s="136"/>
      <c r="F83" s="137" t="str">
        <f t="shared" si="1"/>
        <v/>
      </c>
      <c r="G83" s="137"/>
      <c r="H83" s="137"/>
      <c r="I83" s="137" t="str">
        <f t="shared" si="2"/>
        <v/>
      </c>
      <c r="J83" s="137"/>
      <c r="K83" s="137"/>
      <c r="L83" s="115"/>
    </row>
    <row r="84" spans="2:12" x14ac:dyDescent="0.25">
      <c r="B84" s="114"/>
      <c r="C84" s="136" t="str">
        <f t="shared" si="0"/>
        <v/>
      </c>
      <c r="D84" s="136"/>
      <c r="E84" s="136"/>
      <c r="F84" s="137" t="str">
        <f t="shared" si="1"/>
        <v/>
      </c>
      <c r="G84" s="137"/>
      <c r="H84" s="137"/>
      <c r="I84" s="137" t="str">
        <f t="shared" si="2"/>
        <v/>
      </c>
      <c r="J84" s="137"/>
      <c r="K84" s="137"/>
      <c r="L84" s="115"/>
    </row>
    <row r="85" spans="2:12" x14ac:dyDescent="0.25">
      <c r="B85" s="114"/>
      <c r="C85" s="136" t="str">
        <f t="shared" si="0"/>
        <v/>
      </c>
      <c r="D85" s="136"/>
      <c r="E85" s="136"/>
      <c r="F85" s="137" t="str">
        <f t="shared" si="1"/>
        <v/>
      </c>
      <c r="G85" s="137"/>
      <c r="H85" s="137"/>
      <c r="I85" s="137" t="str">
        <f t="shared" si="2"/>
        <v/>
      </c>
      <c r="J85" s="137"/>
      <c r="K85" s="137"/>
      <c r="L85" s="115"/>
    </row>
    <row r="86" spans="2:12" x14ac:dyDescent="0.25">
      <c r="B86" s="114"/>
      <c r="C86" s="136" t="str">
        <f t="shared" si="0"/>
        <v/>
      </c>
      <c r="D86" s="136"/>
      <c r="E86" s="136"/>
      <c r="F86" s="137" t="str">
        <f t="shared" si="1"/>
        <v/>
      </c>
      <c r="G86" s="137"/>
      <c r="H86" s="137"/>
      <c r="I86" s="137" t="str">
        <f t="shared" si="2"/>
        <v/>
      </c>
      <c r="J86" s="137"/>
      <c r="K86" s="137"/>
      <c r="L86" s="115"/>
    </row>
    <row r="87" spans="2:12" x14ac:dyDescent="0.25">
      <c r="B87" s="114"/>
      <c r="C87" s="136" t="str">
        <f t="shared" si="0"/>
        <v/>
      </c>
      <c r="D87" s="136"/>
      <c r="E87" s="136"/>
      <c r="F87" s="137" t="str">
        <f t="shared" si="1"/>
        <v/>
      </c>
      <c r="G87" s="137"/>
      <c r="H87" s="137"/>
      <c r="I87" s="137" t="str">
        <f t="shared" si="2"/>
        <v/>
      </c>
      <c r="J87" s="137"/>
      <c r="K87" s="137"/>
      <c r="L87" s="115"/>
    </row>
    <row r="88" spans="2:12" x14ac:dyDescent="0.25">
      <c r="B88" s="114"/>
      <c r="C88" s="136" t="str">
        <f t="shared" si="0"/>
        <v/>
      </c>
      <c r="D88" s="136"/>
      <c r="E88" s="136"/>
      <c r="F88" s="137" t="str">
        <f t="shared" si="1"/>
        <v/>
      </c>
      <c r="G88" s="137"/>
      <c r="H88" s="137"/>
      <c r="I88" s="137" t="str">
        <f t="shared" si="2"/>
        <v/>
      </c>
      <c r="J88" s="137"/>
      <c r="K88" s="137"/>
      <c r="L88" s="115"/>
    </row>
    <row r="89" spans="2:12" x14ac:dyDescent="0.25">
      <c r="B89" s="114"/>
      <c r="C89" s="136" t="str">
        <f t="shared" si="0"/>
        <v/>
      </c>
      <c r="D89" s="136"/>
      <c r="E89" s="136"/>
      <c r="F89" s="137" t="str">
        <f t="shared" si="1"/>
        <v/>
      </c>
      <c r="G89" s="137"/>
      <c r="H89" s="137"/>
      <c r="I89" s="137" t="str">
        <f t="shared" si="2"/>
        <v/>
      </c>
      <c r="J89" s="137"/>
      <c r="K89" s="137"/>
      <c r="L89" s="115"/>
    </row>
    <row r="90" spans="2:12" x14ac:dyDescent="0.25">
      <c r="B90" s="114"/>
      <c r="C90" s="136" t="str">
        <f t="shared" si="0"/>
        <v/>
      </c>
      <c r="D90" s="136"/>
      <c r="E90" s="136"/>
      <c r="F90" s="137" t="str">
        <f t="shared" si="1"/>
        <v/>
      </c>
      <c r="G90" s="137"/>
      <c r="H90" s="137"/>
      <c r="I90" s="137" t="str">
        <f t="shared" si="2"/>
        <v/>
      </c>
      <c r="J90" s="137"/>
      <c r="K90" s="137"/>
      <c r="L90" s="115"/>
    </row>
    <row r="91" spans="2:12" x14ac:dyDescent="0.25">
      <c r="B91" s="114"/>
      <c r="C91" s="136" t="str">
        <f t="shared" si="0"/>
        <v/>
      </c>
      <c r="D91" s="136"/>
      <c r="E91" s="136"/>
      <c r="F91" s="137" t="str">
        <f t="shared" si="1"/>
        <v/>
      </c>
      <c r="G91" s="137"/>
      <c r="H91" s="137"/>
      <c r="I91" s="137" t="str">
        <f t="shared" si="2"/>
        <v/>
      </c>
      <c r="J91" s="137"/>
      <c r="K91" s="137"/>
      <c r="L91" s="115"/>
    </row>
    <row r="92" spans="2:12" x14ac:dyDescent="0.25">
      <c r="B92" s="114"/>
      <c r="C92" s="136" t="str">
        <f t="shared" si="0"/>
        <v/>
      </c>
      <c r="D92" s="136"/>
      <c r="E92" s="136"/>
      <c r="F92" s="137" t="str">
        <f t="shared" si="1"/>
        <v/>
      </c>
      <c r="G92" s="137"/>
      <c r="H92" s="137"/>
      <c r="I92" s="137" t="str">
        <f t="shared" si="2"/>
        <v/>
      </c>
      <c r="J92" s="137"/>
      <c r="K92" s="137"/>
      <c r="L92" s="115"/>
    </row>
    <row r="93" spans="2:12" x14ac:dyDescent="0.25">
      <c r="B93" s="114"/>
      <c r="C93" s="136" t="str">
        <f t="shared" si="0"/>
        <v/>
      </c>
      <c r="D93" s="136"/>
      <c r="E93" s="136"/>
      <c r="F93" s="137" t="str">
        <f t="shared" si="1"/>
        <v/>
      </c>
      <c r="G93" s="137"/>
      <c r="H93" s="137"/>
      <c r="I93" s="137" t="str">
        <f t="shared" si="2"/>
        <v/>
      </c>
      <c r="J93" s="137"/>
      <c r="K93" s="137"/>
      <c r="L93" s="115"/>
    </row>
    <row r="94" spans="2:12" x14ac:dyDescent="0.25">
      <c r="B94" s="114"/>
      <c r="C94" s="136" t="str">
        <f t="shared" si="0"/>
        <v/>
      </c>
      <c r="D94" s="136"/>
      <c r="E94" s="136"/>
      <c r="F94" s="137" t="str">
        <f t="shared" si="1"/>
        <v/>
      </c>
      <c r="G94" s="137"/>
      <c r="H94" s="137"/>
      <c r="I94" s="137" t="str">
        <f t="shared" si="2"/>
        <v/>
      </c>
      <c r="J94" s="137"/>
      <c r="K94" s="137"/>
      <c r="L94" s="115"/>
    </row>
    <row r="95" spans="2:12" x14ac:dyDescent="0.25">
      <c r="B95" s="114"/>
      <c r="C95" s="136" t="str">
        <f t="shared" si="0"/>
        <v/>
      </c>
      <c r="D95" s="136"/>
      <c r="E95" s="136"/>
      <c r="F95" s="137" t="str">
        <f t="shared" si="1"/>
        <v/>
      </c>
      <c r="G95" s="137"/>
      <c r="H95" s="137"/>
      <c r="I95" s="137" t="str">
        <f t="shared" si="2"/>
        <v/>
      </c>
      <c r="J95" s="137"/>
      <c r="K95" s="137"/>
      <c r="L95" s="115"/>
    </row>
    <row r="96" spans="2:12" x14ac:dyDescent="0.25">
      <c r="B96" s="114"/>
      <c r="C96" s="136" t="str">
        <f t="shared" si="0"/>
        <v/>
      </c>
      <c r="D96" s="136"/>
      <c r="E96" s="136"/>
      <c r="F96" s="137" t="str">
        <f t="shared" si="1"/>
        <v/>
      </c>
      <c r="G96" s="137"/>
      <c r="H96" s="137"/>
      <c r="I96" s="137" t="str">
        <f t="shared" si="2"/>
        <v/>
      </c>
      <c r="J96" s="137"/>
      <c r="K96" s="137"/>
      <c r="L96" s="115"/>
    </row>
    <row r="97" spans="2:12" x14ac:dyDescent="0.25">
      <c r="B97" s="114"/>
      <c r="C97" s="136" t="str">
        <f t="shared" si="0"/>
        <v/>
      </c>
      <c r="D97" s="136"/>
      <c r="E97" s="136"/>
      <c r="F97" s="137" t="str">
        <f t="shared" si="1"/>
        <v/>
      </c>
      <c r="G97" s="137"/>
      <c r="H97" s="137"/>
      <c r="I97" s="137" t="str">
        <f t="shared" si="2"/>
        <v/>
      </c>
      <c r="J97" s="137"/>
      <c r="K97" s="137"/>
      <c r="L97" s="115"/>
    </row>
    <row r="98" spans="2:12" x14ac:dyDescent="0.25">
      <c r="B98" s="114"/>
      <c r="C98" s="136" t="str">
        <f t="shared" si="0"/>
        <v/>
      </c>
      <c r="D98" s="136"/>
      <c r="E98" s="136"/>
      <c r="F98" s="137" t="str">
        <f t="shared" si="1"/>
        <v/>
      </c>
      <c r="G98" s="137"/>
      <c r="H98" s="137"/>
      <c r="I98" s="137" t="str">
        <f t="shared" si="2"/>
        <v/>
      </c>
      <c r="J98" s="137"/>
      <c r="K98" s="137"/>
      <c r="L98" s="115"/>
    </row>
    <row r="99" spans="2:12" x14ac:dyDescent="0.25">
      <c r="B99" s="114"/>
      <c r="C99" s="136" t="str">
        <f t="shared" si="0"/>
        <v/>
      </c>
      <c r="D99" s="136"/>
      <c r="E99" s="136"/>
      <c r="F99" s="137" t="str">
        <f t="shared" si="1"/>
        <v/>
      </c>
      <c r="G99" s="137"/>
      <c r="H99" s="137"/>
      <c r="I99" s="137" t="str">
        <f t="shared" si="2"/>
        <v/>
      </c>
      <c r="J99" s="137"/>
      <c r="K99" s="137"/>
      <c r="L99" s="115"/>
    </row>
    <row r="100" spans="2:12" x14ac:dyDescent="0.25">
      <c r="B100" s="114"/>
      <c r="C100" s="136" t="str">
        <f t="shared" si="0"/>
        <v/>
      </c>
      <c r="D100" s="136"/>
      <c r="E100" s="136"/>
      <c r="F100" s="137" t="str">
        <f t="shared" si="1"/>
        <v/>
      </c>
      <c r="G100" s="137"/>
      <c r="H100" s="137"/>
      <c r="I100" s="137" t="str">
        <f t="shared" si="2"/>
        <v/>
      </c>
      <c r="J100" s="137"/>
      <c r="K100" s="137"/>
      <c r="L100" s="115"/>
    </row>
    <row r="101" spans="2:12" x14ac:dyDescent="0.25">
      <c r="B101" s="114"/>
      <c r="C101" s="136" t="str">
        <f t="shared" ref="C101:C150" si="3">IF(OR(AL264="",AL264="Grand total"),"",AL264)</f>
        <v/>
      </c>
      <c r="D101" s="136"/>
      <c r="E101" s="136"/>
      <c r="F101" s="137" t="str">
        <f t="shared" ref="F101:F150" si="4">IF(C101="","",AM264)</f>
        <v/>
      </c>
      <c r="G101" s="137"/>
      <c r="H101" s="137"/>
      <c r="I101" s="137" t="str">
        <f t="shared" ref="I101:I150" si="5">IF(C101="","",AN264)</f>
        <v/>
      </c>
      <c r="J101" s="137"/>
      <c r="K101" s="137"/>
      <c r="L101" s="115"/>
    </row>
    <row r="102" spans="2:12" x14ac:dyDescent="0.25">
      <c r="B102" s="114"/>
      <c r="C102" s="136" t="str">
        <f t="shared" si="3"/>
        <v/>
      </c>
      <c r="D102" s="136"/>
      <c r="E102" s="136"/>
      <c r="F102" s="137" t="str">
        <f t="shared" si="4"/>
        <v/>
      </c>
      <c r="G102" s="137"/>
      <c r="H102" s="137"/>
      <c r="I102" s="137" t="str">
        <f t="shared" si="5"/>
        <v/>
      </c>
      <c r="J102" s="137"/>
      <c r="K102" s="137"/>
      <c r="L102" s="115"/>
    </row>
    <row r="103" spans="2:12" x14ac:dyDescent="0.25">
      <c r="B103" s="114"/>
      <c r="C103" s="136" t="str">
        <f t="shared" si="3"/>
        <v/>
      </c>
      <c r="D103" s="136"/>
      <c r="E103" s="136"/>
      <c r="F103" s="137" t="str">
        <f t="shared" si="4"/>
        <v/>
      </c>
      <c r="G103" s="137"/>
      <c r="H103" s="137"/>
      <c r="I103" s="137" t="str">
        <f t="shared" si="5"/>
        <v/>
      </c>
      <c r="J103" s="137"/>
      <c r="K103" s="137"/>
      <c r="L103" s="115"/>
    </row>
    <row r="104" spans="2:12" x14ac:dyDescent="0.25">
      <c r="B104" s="114"/>
      <c r="C104" s="136" t="str">
        <f t="shared" si="3"/>
        <v/>
      </c>
      <c r="D104" s="136"/>
      <c r="E104" s="136"/>
      <c r="F104" s="137" t="str">
        <f t="shared" si="4"/>
        <v/>
      </c>
      <c r="G104" s="137"/>
      <c r="H104" s="137"/>
      <c r="I104" s="137" t="str">
        <f t="shared" si="5"/>
        <v/>
      </c>
      <c r="J104" s="137"/>
      <c r="K104" s="137"/>
      <c r="L104" s="115"/>
    </row>
    <row r="105" spans="2:12" x14ac:dyDescent="0.25">
      <c r="B105" s="114"/>
      <c r="C105" s="136" t="str">
        <f t="shared" si="3"/>
        <v/>
      </c>
      <c r="D105" s="136"/>
      <c r="E105" s="136"/>
      <c r="F105" s="137" t="str">
        <f t="shared" si="4"/>
        <v/>
      </c>
      <c r="G105" s="137"/>
      <c r="H105" s="137"/>
      <c r="I105" s="137" t="str">
        <f t="shared" si="5"/>
        <v/>
      </c>
      <c r="J105" s="137"/>
      <c r="K105" s="137"/>
      <c r="L105" s="115"/>
    </row>
    <row r="106" spans="2:12" x14ac:dyDescent="0.25">
      <c r="B106" s="114"/>
      <c r="C106" s="136" t="str">
        <f t="shared" si="3"/>
        <v/>
      </c>
      <c r="D106" s="136"/>
      <c r="E106" s="136"/>
      <c r="F106" s="137" t="str">
        <f t="shared" si="4"/>
        <v/>
      </c>
      <c r="G106" s="137"/>
      <c r="H106" s="137"/>
      <c r="I106" s="137" t="str">
        <f t="shared" si="5"/>
        <v/>
      </c>
      <c r="J106" s="137"/>
      <c r="K106" s="137"/>
      <c r="L106" s="115"/>
    </row>
    <row r="107" spans="2:12" x14ac:dyDescent="0.25">
      <c r="B107" s="114"/>
      <c r="C107" s="136" t="str">
        <f t="shared" si="3"/>
        <v/>
      </c>
      <c r="D107" s="136"/>
      <c r="E107" s="136"/>
      <c r="F107" s="137" t="str">
        <f t="shared" si="4"/>
        <v/>
      </c>
      <c r="G107" s="137"/>
      <c r="H107" s="137"/>
      <c r="I107" s="137" t="str">
        <f t="shared" si="5"/>
        <v/>
      </c>
      <c r="J107" s="137"/>
      <c r="K107" s="137"/>
      <c r="L107" s="115"/>
    </row>
    <row r="108" spans="2:12" x14ac:dyDescent="0.25">
      <c r="B108" s="114"/>
      <c r="C108" s="136" t="str">
        <f t="shared" si="3"/>
        <v/>
      </c>
      <c r="D108" s="136"/>
      <c r="E108" s="136"/>
      <c r="F108" s="137" t="str">
        <f t="shared" si="4"/>
        <v/>
      </c>
      <c r="G108" s="137"/>
      <c r="H108" s="137"/>
      <c r="I108" s="137" t="str">
        <f t="shared" si="5"/>
        <v/>
      </c>
      <c r="J108" s="137"/>
      <c r="K108" s="137"/>
      <c r="L108" s="115"/>
    </row>
    <row r="109" spans="2:12" x14ac:dyDescent="0.25">
      <c r="B109" s="114"/>
      <c r="C109" s="136" t="str">
        <f t="shared" si="3"/>
        <v/>
      </c>
      <c r="D109" s="136"/>
      <c r="E109" s="136"/>
      <c r="F109" s="137" t="str">
        <f t="shared" si="4"/>
        <v/>
      </c>
      <c r="G109" s="137"/>
      <c r="H109" s="137"/>
      <c r="I109" s="137" t="str">
        <f t="shared" si="5"/>
        <v/>
      </c>
      <c r="J109" s="137"/>
      <c r="K109" s="137"/>
      <c r="L109" s="115"/>
    </row>
    <row r="110" spans="2:12" x14ac:dyDescent="0.25">
      <c r="B110" s="114"/>
      <c r="C110" s="136" t="str">
        <f t="shared" si="3"/>
        <v/>
      </c>
      <c r="D110" s="136"/>
      <c r="E110" s="136"/>
      <c r="F110" s="137" t="str">
        <f t="shared" si="4"/>
        <v/>
      </c>
      <c r="G110" s="137"/>
      <c r="H110" s="137"/>
      <c r="I110" s="137" t="str">
        <f t="shared" si="5"/>
        <v/>
      </c>
      <c r="J110" s="137"/>
      <c r="K110" s="137"/>
      <c r="L110" s="115"/>
    </row>
    <row r="111" spans="2:12" x14ac:dyDescent="0.25">
      <c r="B111" s="114"/>
      <c r="C111" s="136" t="str">
        <f t="shared" si="3"/>
        <v/>
      </c>
      <c r="D111" s="136"/>
      <c r="E111" s="136"/>
      <c r="F111" s="137" t="str">
        <f t="shared" si="4"/>
        <v/>
      </c>
      <c r="G111" s="137"/>
      <c r="H111" s="137"/>
      <c r="I111" s="137" t="str">
        <f t="shared" si="5"/>
        <v/>
      </c>
      <c r="J111" s="137"/>
      <c r="K111" s="137"/>
      <c r="L111" s="115"/>
    </row>
    <row r="112" spans="2:12" x14ac:dyDescent="0.25">
      <c r="B112" s="114"/>
      <c r="C112" s="136" t="str">
        <f t="shared" si="3"/>
        <v/>
      </c>
      <c r="D112" s="136"/>
      <c r="E112" s="136"/>
      <c r="F112" s="137" t="str">
        <f t="shared" si="4"/>
        <v/>
      </c>
      <c r="G112" s="137"/>
      <c r="H112" s="137"/>
      <c r="I112" s="137" t="str">
        <f t="shared" si="5"/>
        <v/>
      </c>
      <c r="J112" s="137"/>
      <c r="K112" s="137"/>
      <c r="L112" s="115"/>
    </row>
    <row r="113" spans="2:12" x14ac:dyDescent="0.25">
      <c r="B113" s="114"/>
      <c r="C113" s="136" t="str">
        <f t="shared" si="3"/>
        <v/>
      </c>
      <c r="D113" s="136"/>
      <c r="E113" s="136"/>
      <c r="F113" s="137" t="str">
        <f t="shared" si="4"/>
        <v/>
      </c>
      <c r="G113" s="137"/>
      <c r="H113" s="137"/>
      <c r="I113" s="137" t="str">
        <f t="shared" si="5"/>
        <v/>
      </c>
      <c r="J113" s="137"/>
      <c r="K113" s="137"/>
      <c r="L113" s="115"/>
    </row>
    <row r="114" spans="2:12" x14ac:dyDescent="0.25">
      <c r="B114" s="114"/>
      <c r="C114" s="136" t="str">
        <f t="shared" si="3"/>
        <v/>
      </c>
      <c r="D114" s="136"/>
      <c r="E114" s="136"/>
      <c r="F114" s="137" t="str">
        <f t="shared" si="4"/>
        <v/>
      </c>
      <c r="G114" s="137"/>
      <c r="H114" s="137"/>
      <c r="I114" s="137" t="str">
        <f t="shared" si="5"/>
        <v/>
      </c>
      <c r="J114" s="137"/>
      <c r="K114" s="137"/>
      <c r="L114" s="115"/>
    </row>
    <row r="115" spans="2:12" x14ac:dyDescent="0.25">
      <c r="B115" s="114"/>
      <c r="C115" s="136" t="str">
        <f t="shared" si="3"/>
        <v/>
      </c>
      <c r="D115" s="136"/>
      <c r="E115" s="136"/>
      <c r="F115" s="137" t="str">
        <f t="shared" si="4"/>
        <v/>
      </c>
      <c r="G115" s="137"/>
      <c r="H115" s="137"/>
      <c r="I115" s="137" t="str">
        <f t="shared" si="5"/>
        <v/>
      </c>
      <c r="J115" s="137"/>
      <c r="K115" s="137"/>
      <c r="L115" s="115"/>
    </row>
    <row r="116" spans="2:12" x14ac:dyDescent="0.25">
      <c r="B116" s="114"/>
      <c r="C116" s="136" t="str">
        <f t="shared" si="3"/>
        <v/>
      </c>
      <c r="D116" s="136"/>
      <c r="E116" s="136"/>
      <c r="F116" s="137" t="str">
        <f t="shared" si="4"/>
        <v/>
      </c>
      <c r="G116" s="137"/>
      <c r="H116" s="137"/>
      <c r="I116" s="137" t="str">
        <f t="shared" si="5"/>
        <v/>
      </c>
      <c r="J116" s="137"/>
      <c r="K116" s="137"/>
      <c r="L116" s="115"/>
    </row>
    <row r="117" spans="2:12" x14ac:dyDescent="0.25">
      <c r="B117" s="114"/>
      <c r="C117" s="136" t="str">
        <f t="shared" si="3"/>
        <v/>
      </c>
      <c r="D117" s="136"/>
      <c r="E117" s="136"/>
      <c r="F117" s="137" t="str">
        <f t="shared" si="4"/>
        <v/>
      </c>
      <c r="G117" s="137"/>
      <c r="H117" s="137"/>
      <c r="I117" s="137" t="str">
        <f t="shared" si="5"/>
        <v/>
      </c>
      <c r="J117" s="137"/>
      <c r="K117" s="137"/>
      <c r="L117" s="115"/>
    </row>
    <row r="118" spans="2:12" x14ac:dyDescent="0.25">
      <c r="B118" s="114"/>
      <c r="C118" s="136" t="str">
        <f t="shared" si="3"/>
        <v/>
      </c>
      <c r="D118" s="136"/>
      <c r="E118" s="136"/>
      <c r="F118" s="137" t="str">
        <f t="shared" si="4"/>
        <v/>
      </c>
      <c r="G118" s="137"/>
      <c r="H118" s="137"/>
      <c r="I118" s="137" t="str">
        <f t="shared" si="5"/>
        <v/>
      </c>
      <c r="J118" s="137"/>
      <c r="K118" s="137"/>
      <c r="L118" s="115"/>
    </row>
    <row r="119" spans="2:12" x14ac:dyDescent="0.25">
      <c r="B119" s="114"/>
      <c r="C119" s="136" t="str">
        <f t="shared" si="3"/>
        <v/>
      </c>
      <c r="D119" s="136"/>
      <c r="E119" s="136"/>
      <c r="F119" s="137" t="str">
        <f t="shared" si="4"/>
        <v/>
      </c>
      <c r="G119" s="137"/>
      <c r="H119" s="137"/>
      <c r="I119" s="137" t="str">
        <f t="shared" si="5"/>
        <v/>
      </c>
      <c r="J119" s="137"/>
      <c r="K119" s="137"/>
      <c r="L119" s="115"/>
    </row>
    <row r="120" spans="2:12" x14ac:dyDescent="0.25">
      <c r="B120" s="114"/>
      <c r="C120" s="136" t="str">
        <f t="shared" si="3"/>
        <v/>
      </c>
      <c r="D120" s="136"/>
      <c r="E120" s="136"/>
      <c r="F120" s="137" t="str">
        <f t="shared" si="4"/>
        <v/>
      </c>
      <c r="G120" s="137"/>
      <c r="H120" s="137"/>
      <c r="I120" s="137" t="str">
        <f t="shared" si="5"/>
        <v/>
      </c>
      <c r="J120" s="137"/>
      <c r="K120" s="137"/>
      <c r="L120" s="115"/>
    </row>
    <row r="121" spans="2:12" x14ac:dyDescent="0.25">
      <c r="B121" s="114"/>
      <c r="C121" s="136" t="str">
        <f t="shared" si="3"/>
        <v/>
      </c>
      <c r="D121" s="136"/>
      <c r="E121" s="136"/>
      <c r="F121" s="137" t="str">
        <f t="shared" si="4"/>
        <v/>
      </c>
      <c r="G121" s="137"/>
      <c r="H121" s="137"/>
      <c r="I121" s="137" t="str">
        <f t="shared" si="5"/>
        <v/>
      </c>
      <c r="J121" s="137"/>
      <c r="K121" s="137"/>
      <c r="L121" s="115"/>
    </row>
    <row r="122" spans="2:12" x14ac:dyDescent="0.25">
      <c r="B122" s="114"/>
      <c r="C122" s="136" t="str">
        <f t="shared" si="3"/>
        <v/>
      </c>
      <c r="D122" s="136"/>
      <c r="E122" s="136"/>
      <c r="F122" s="137" t="str">
        <f t="shared" si="4"/>
        <v/>
      </c>
      <c r="G122" s="137"/>
      <c r="H122" s="137"/>
      <c r="I122" s="137" t="str">
        <f t="shared" si="5"/>
        <v/>
      </c>
      <c r="J122" s="137"/>
      <c r="K122" s="137"/>
      <c r="L122" s="115"/>
    </row>
    <row r="123" spans="2:12" x14ac:dyDescent="0.25">
      <c r="B123" s="114"/>
      <c r="C123" s="136" t="str">
        <f t="shared" si="3"/>
        <v/>
      </c>
      <c r="D123" s="136"/>
      <c r="E123" s="136"/>
      <c r="F123" s="137" t="str">
        <f t="shared" si="4"/>
        <v/>
      </c>
      <c r="G123" s="137"/>
      <c r="H123" s="137"/>
      <c r="I123" s="137" t="str">
        <f t="shared" si="5"/>
        <v/>
      </c>
      <c r="J123" s="137"/>
      <c r="K123" s="137"/>
      <c r="L123" s="115"/>
    </row>
    <row r="124" spans="2:12" x14ac:dyDescent="0.25">
      <c r="B124" s="114"/>
      <c r="C124" s="136" t="str">
        <f t="shared" si="3"/>
        <v/>
      </c>
      <c r="D124" s="136"/>
      <c r="E124" s="136"/>
      <c r="F124" s="137" t="str">
        <f t="shared" si="4"/>
        <v/>
      </c>
      <c r="G124" s="137"/>
      <c r="H124" s="137"/>
      <c r="I124" s="137" t="str">
        <f t="shared" si="5"/>
        <v/>
      </c>
      <c r="J124" s="137"/>
      <c r="K124" s="137"/>
      <c r="L124" s="115"/>
    </row>
    <row r="125" spans="2:12" x14ac:dyDescent="0.25">
      <c r="B125" s="114"/>
      <c r="C125" s="136" t="str">
        <f t="shared" si="3"/>
        <v/>
      </c>
      <c r="D125" s="136"/>
      <c r="E125" s="136"/>
      <c r="F125" s="137" t="str">
        <f t="shared" si="4"/>
        <v/>
      </c>
      <c r="G125" s="137"/>
      <c r="H125" s="137"/>
      <c r="I125" s="137" t="str">
        <f t="shared" si="5"/>
        <v/>
      </c>
      <c r="J125" s="137"/>
      <c r="K125" s="137"/>
      <c r="L125" s="115"/>
    </row>
    <row r="126" spans="2:12" x14ac:dyDescent="0.25">
      <c r="B126" s="114"/>
      <c r="C126" s="136" t="str">
        <f t="shared" si="3"/>
        <v/>
      </c>
      <c r="D126" s="136"/>
      <c r="E126" s="136"/>
      <c r="F126" s="137" t="str">
        <f t="shared" si="4"/>
        <v/>
      </c>
      <c r="G126" s="137"/>
      <c r="H126" s="137"/>
      <c r="I126" s="137" t="str">
        <f t="shared" si="5"/>
        <v/>
      </c>
      <c r="J126" s="137"/>
      <c r="K126" s="137"/>
      <c r="L126" s="115"/>
    </row>
    <row r="127" spans="2:12" x14ac:dyDescent="0.25">
      <c r="B127" s="114"/>
      <c r="C127" s="136" t="str">
        <f t="shared" si="3"/>
        <v/>
      </c>
      <c r="D127" s="136"/>
      <c r="E127" s="136"/>
      <c r="F127" s="137" t="str">
        <f t="shared" si="4"/>
        <v/>
      </c>
      <c r="G127" s="137"/>
      <c r="H127" s="137"/>
      <c r="I127" s="137" t="str">
        <f t="shared" si="5"/>
        <v/>
      </c>
      <c r="J127" s="137"/>
      <c r="K127" s="137"/>
      <c r="L127" s="115"/>
    </row>
    <row r="128" spans="2:12" x14ac:dyDescent="0.25">
      <c r="B128" s="114"/>
      <c r="C128" s="136" t="str">
        <f t="shared" si="3"/>
        <v/>
      </c>
      <c r="D128" s="136"/>
      <c r="E128" s="136"/>
      <c r="F128" s="137" t="str">
        <f t="shared" si="4"/>
        <v/>
      </c>
      <c r="G128" s="137"/>
      <c r="H128" s="137"/>
      <c r="I128" s="137" t="str">
        <f t="shared" si="5"/>
        <v/>
      </c>
      <c r="J128" s="137"/>
      <c r="K128" s="137"/>
      <c r="L128" s="115"/>
    </row>
    <row r="129" spans="2:12" x14ac:dyDescent="0.25">
      <c r="B129" s="114"/>
      <c r="C129" s="136" t="str">
        <f t="shared" si="3"/>
        <v/>
      </c>
      <c r="D129" s="136"/>
      <c r="E129" s="136"/>
      <c r="F129" s="137" t="str">
        <f t="shared" si="4"/>
        <v/>
      </c>
      <c r="G129" s="137"/>
      <c r="H129" s="137"/>
      <c r="I129" s="137" t="str">
        <f t="shared" si="5"/>
        <v/>
      </c>
      <c r="J129" s="137"/>
      <c r="K129" s="137"/>
      <c r="L129" s="115"/>
    </row>
    <row r="130" spans="2:12" x14ac:dyDescent="0.25">
      <c r="B130" s="114"/>
      <c r="C130" s="136" t="str">
        <f t="shared" si="3"/>
        <v/>
      </c>
      <c r="D130" s="136"/>
      <c r="E130" s="136"/>
      <c r="F130" s="137" t="str">
        <f t="shared" si="4"/>
        <v/>
      </c>
      <c r="G130" s="137"/>
      <c r="H130" s="137"/>
      <c r="I130" s="137" t="str">
        <f t="shared" si="5"/>
        <v/>
      </c>
      <c r="J130" s="137"/>
      <c r="K130" s="137"/>
      <c r="L130" s="115"/>
    </row>
    <row r="131" spans="2:12" x14ac:dyDescent="0.25">
      <c r="B131" s="114"/>
      <c r="C131" s="136" t="str">
        <f t="shared" si="3"/>
        <v/>
      </c>
      <c r="D131" s="136"/>
      <c r="E131" s="136"/>
      <c r="F131" s="137" t="str">
        <f t="shared" si="4"/>
        <v/>
      </c>
      <c r="G131" s="137"/>
      <c r="H131" s="137"/>
      <c r="I131" s="137" t="str">
        <f t="shared" si="5"/>
        <v/>
      </c>
      <c r="J131" s="137"/>
      <c r="K131" s="137"/>
      <c r="L131" s="115"/>
    </row>
    <row r="132" spans="2:12" x14ac:dyDescent="0.25">
      <c r="B132" s="114"/>
      <c r="C132" s="136" t="str">
        <f t="shared" si="3"/>
        <v/>
      </c>
      <c r="D132" s="136"/>
      <c r="E132" s="136"/>
      <c r="F132" s="137" t="str">
        <f t="shared" si="4"/>
        <v/>
      </c>
      <c r="G132" s="137"/>
      <c r="H132" s="137"/>
      <c r="I132" s="137" t="str">
        <f t="shared" si="5"/>
        <v/>
      </c>
      <c r="J132" s="137"/>
      <c r="K132" s="137"/>
      <c r="L132" s="115"/>
    </row>
    <row r="133" spans="2:12" x14ac:dyDescent="0.25">
      <c r="B133" s="114"/>
      <c r="C133" s="136" t="str">
        <f t="shared" si="3"/>
        <v/>
      </c>
      <c r="D133" s="136"/>
      <c r="E133" s="136"/>
      <c r="F133" s="137" t="str">
        <f t="shared" si="4"/>
        <v/>
      </c>
      <c r="G133" s="137"/>
      <c r="H133" s="137"/>
      <c r="I133" s="137" t="str">
        <f t="shared" si="5"/>
        <v/>
      </c>
      <c r="J133" s="137"/>
      <c r="K133" s="137"/>
      <c r="L133" s="115"/>
    </row>
    <row r="134" spans="2:12" x14ac:dyDescent="0.25">
      <c r="B134" s="114"/>
      <c r="C134" s="136" t="str">
        <f t="shared" si="3"/>
        <v/>
      </c>
      <c r="D134" s="136"/>
      <c r="E134" s="136"/>
      <c r="F134" s="137" t="str">
        <f t="shared" si="4"/>
        <v/>
      </c>
      <c r="G134" s="137"/>
      <c r="H134" s="137"/>
      <c r="I134" s="137" t="str">
        <f t="shared" si="5"/>
        <v/>
      </c>
      <c r="J134" s="137"/>
      <c r="K134" s="137"/>
      <c r="L134" s="115"/>
    </row>
    <row r="135" spans="2:12" x14ac:dyDescent="0.25">
      <c r="B135" s="114"/>
      <c r="C135" s="136" t="str">
        <f t="shared" si="3"/>
        <v/>
      </c>
      <c r="D135" s="136"/>
      <c r="E135" s="136"/>
      <c r="F135" s="137" t="str">
        <f t="shared" si="4"/>
        <v/>
      </c>
      <c r="G135" s="137"/>
      <c r="H135" s="137"/>
      <c r="I135" s="137" t="str">
        <f t="shared" si="5"/>
        <v/>
      </c>
      <c r="J135" s="137"/>
      <c r="K135" s="137"/>
      <c r="L135" s="115"/>
    </row>
    <row r="136" spans="2:12" x14ac:dyDescent="0.25">
      <c r="B136" s="114"/>
      <c r="C136" s="136" t="str">
        <f t="shared" si="3"/>
        <v/>
      </c>
      <c r="D136" s="136"/>
      <c r="E136" s="136"/>
      <c r="F136" s="137" t="str">
        <f t="shared" si="4"/>
        <v/>
      </c>
      <c r="G136" s="137"/>
      <c r="H136" s="137"/>
      <c r="I136" s="137" t="str">
        <f t="shared" si="5"/>
        <v/>
      </c>
      <c r="J136" s="137"/>
      <c r="K136" s="137"/>
      <c r="L136" s="115"/>
    </row>
    <row r="137" spans="2:12" x14ac:dyDescent="0.25">
      <c r="B137" s="114"/>
      <c r="C137" s="136" t="str">
        <f t="shared" si="3"/>
        <v/>
      </c>
      <c r="D137" s="136"/>
      <c r="E137" s="136"/>
      <c r="F137" s="137" t="str">
        <f t="shared" si="4"/>
        <v/>
      </c>
      <c r="G137" s="137"/>
      <c r="H137" s="137"/>
      <c r="I137" s="137" t="str">
        <f t="shared" si="5"/>
        <v/>
      </c>
      <c r="J137" s="137"/>
      <c r="K137" s="137"/>
      <c r="L137" s="115"/>
    </row>
    <row r="138" spans="2:12" x14ac:dyDescent="0.25">
      <c r="B138" s="114"/>
      <c r="C138" s="136" t="str">
        <f t="shared" si="3"/>
        <v/>
      </c>
      <c r="D138" s="136"/>
      <c r="E138" s="136"/>
      <c r="F138" s="137" t="str">
        <f t="shared" si="4"/>
        <v/>
      </c>
      <c r="G138" s="137"/>
      <c r="H138" s="137"/>
      <c r="I138" s="137" t="str">
        <f t="shared" si="5"/>
        <v/>
      </c>
      <c r="J138" s="137"/>
      <c r="K138" s="137"/>
      <c r="L138" s="115"/>
    </row>
    <row r="139" spans="2:12" x14ac:dyDescent="0.25">
      <c r="B139" s="114"/>
      <c r="C139" s="136" t="str">
        <f t="shared" si="3"/>
        <v/>
      </c>
      <c r="D139" s="136"/>
      <c r="E139" s="136"/>
      <c r="F139" s="137" t="str">
        <f t="shared" si="4"/>
        <v/>
      </c>
      <c r="G139" s="137"/>
      <c r="H139" s="137"/>
      <c r="I139" s="137" t="str">
        <f t="shared" si="5"/>
        <v/>
      </c>
      <c r="J139" s="137"/>
      <c r="K139" s="137"/>
      <c r="L139" s="115"/>
    </row>
    <row r="140" spans="2:12" x14ac:dyDescent="0.25">
      <c r="B140" s="114"/>
      <c r="C140" s="136" t="str">
        <f t="shared" si="3"/>
        <v/>
      </c>
      <c r="D140" s="136"/>
      <c r="E140" s="136"/>
      <c r="F140" s="137" t="str">
        <f t="shared" si="4"/>
        <v/>
      </c>
      <c r="G140" s="137"/>
      <c r="H140" s="137"/>
      <c r="I140" s="137" t="str">
        <f t="shared" si="5"/>
        <v/>
      </c>
      <c r="J140" s="137"/>
      <c r="K140" s="137"/>
      <c r="L140" s="115"/>
    </row>
    <row r="141" spans="2:12" x14ac:dyDescent="0.25">
      <c r="B141" s="114"/>
      <c r="C141" s="136" t="str">
        <f t="shared" si="3"/>
        <v/>
      </c>
      <c r="D141" s="136"/>
      <c r="E141" s="136"/>
      <c r="F141" s="137" t="str">
        <f t="shared" si="4"/>
        <v/>
      </c>
      <c r="G141" s="137"/>
      <c r="H141" s="137"/>
      <c r="I141" s="137" t="str">
        <f t="shared" si="5"/>
        <v/>
      </c>
      <c r="J141" s="137"/>
      <c r="K141" s="137"/>
      <c r="L141" s="115"/>
    </row>
    <row r="142" spans="2:12" x14ac:dyDescent="0.25">
      <c r="B142" s="114"/>
      <c r="C142" s="136" t="str">
        <f t="shared" si="3"/>
        <v/>
      </c>
      <c r="D142" s="136"/>
      <c r="E142" s="136"/>
      <c r="F142" s="137" t="str">
        <f t="shared" si="4"/>
        <v/>
      </c>
      <c r="G142" s="137"/>
      <c r="H142" s="137"/>
      <c r="I142" s="137" t="str">
        <f t="shared" si="5"/>
        <v/>
      </c>
      <c r="J142" s="137"/>
      <c r="K142" s="137"/>
      <c r="L142" s="115"/>
    </row>
    <row r="143" spans="2:12" x14ac:dyDescent="0.25">
      <c r="B143" s="114"/>
      <c r="C143" s="136" t="str">
        <f t="shared" si="3"/>
        <v/>
      </c>
      <c r="D143" s="136"/>
      <c r="E143" s="136"/>
      <c r="F143" s="137" t="str">
        <f t="shared" si="4"/>
        <v/>
      </c>
      <c r="G143" s="137"/>
      <c r="H143" s="137"/>
      <c r="I143" s="137" t="str">
        <f t="shared" si="5"/>
        <v/>
      </c>
      <c r="J143" s="137"/>
      <c r="K143" s="137"/>
      <c r="L143" s="115"/>
    </row>
    <row r="144" spans="2:12" x14ac:dyDescent="0.25">
      <c r="B144" s="114"/>
      <c r="C144" s="136" t="str">
        <f t="shared" si="3"/>
        <v/>
      </c>
      <c r="D144" s="136"/>
      <c r="E144" s="136"/>
      <c r="F144" s="137" t="str">
        <f t="shared" si="4"/>
        <v/>
      </c>
      <c r="G144" s="137"/>
      <c r="H144" s="137"/>
      <c r="I144" s="137" t="str">
        <f t="shared" si="5"/>
        <v/>
      </c>
      <c r="J144" s="137"/>
      <c r="K144" s="137"/>
      <c r="L144" s="115"/>
    </row>
    <row r="145" spans="2:12" x14ac:dyDescent="0.25">
      <c r="B145" s="114"/>
      <c r="C145" s="136" t="str">
        <f t="shared" si="3"/>
        <v/>
      </c>
      <c r="D145" s="136"/>
      <c r="E145" s="136"/>
      <c r="F145" s="137" t="str">
        <f t="shared" si="4"/>
        <v/>
      </c>
      <c r="G145" s="137"/>
      <c r="H145" s="137"/>
      <c r="I145" s="137" t="str">
        <f t="shared" si="5"/>
        <v/>
      </c>
      <c r="J145" s="137"/>
      <c r="K145" s="137"/>
      <c r="L145" s="115"/>
    </row>
    <row r="146" spans="2:12" x14ac:dyDescent="0.25">
      <c r="B146" s="114"/>
      <c r="C146" s="136" t="str">
        <f t="shared" si="3"/>
        <v/>
      </c>
      <c r="D146" s="136"/>
      <c r="E146" s="136"/>
      <c r="F146" s="137" t="str">
        <f t="shared" si="4"/>
        <v/>
      </c>
      <c r="G146" s="137"/>
      <c r="H146" s="137"/>
      <c r="I146" s="137" t="str">
        <f t="shared" si="5"/>
        <v/>
      </c>
      <c r="J146" s="137"/>
      <c r="K146" s="137"/>
      <c r="L146" s="115"/>
    </row>
    <row r="147" spans="2:12" x14ac:dyDescent="0.25">
      <c r="B147" s="114"/>
      <c r="C147" s="136" t="str">
        <f t="shared" si="3"/>
        <v/>
      </c>
      <c r="D147" s="136"/>
      <c r="E147" s="136"/>
      <c r="F147" s="137" t="str">
        <f t="shared" si="4"/>
        <v/>
      </c>
      <c r="G147" s="137"/>
      <c r="H147" s="137"/>
      <c r="I147" s="137" t="str">
        <f t="shared" si="5"/>
        <v/>
      </c>
      <c r="J147" s="137"/>
      <c r="K147" s="137"/>
      <c r="L147" s="115"/>
    </row>
    <row r="148" spans="2:12" x14ac:dyDescent="0.25">
      <c r="B148" s="114"/>
      <c r="C148" s="136" t="str">
        <f t="shared" si="3"/>
        <v/>
      </c>
      <c r="D148" s="136"/>
      <c r="E148" s="136"/>
      <c r="F148" s="137" t="str">
        <f t="shared" si="4"/>
        <v/>
      </c>
      <c r="G148" s="137"/>
      <c r="H148" s="137"/>
      <c r="I148" s="137" t="str">
        <f t="shared" si="5"/>
        <v/>
      </c>
      <c r="J148" s="137"/>
      <c r="K148" s="137"/>
      <c r="L148" s="115"/>
    </row>
    <row r="149" spans="2:12" x14ac:dyDescent="0.25">
      <c r="B149" s="114"/>
      <c r="C149" s="136" t="str">
        <f t="shared" si="3"/>
        <v/>
      </c>
      <c r="D149" s="136"/>
      <c r="E149" s="136"/>
      <c r="F149" s="137" t="str">
        <f t="shared" si="4"/>
        <v/>
      </c>
      <c r="G149" s="137"/>
      <c r="H149" s="137"/>
      <c r="I149" s="137" t="str">
        <f t="shared" si="5"/>
        <v/>
      </c>
      <c r="J149" s="137"/>
      <c r="K149" s="137"/>
      <c r="L149" s="115"/>
    </row>
    <row r="150" spans="2:12" ht="15.75" thickBot="1" x14ac:dyDescent="0.3">
      <c r="B150" s="116"/>
      <c r="C150" s="134" t="str">
        <f t="shared" si="3"/>
        <v/>
      </c>
      <c r="D150" s="134"/>
      <c r="E150" s="134"/>
      <c r="F150" s="135" t="str">
        <f t="shared" si="4"/>
        <v/>
      </c>
      <c r="G150" s="135"/>
      <c r="H150" s="135"/>
      <c r="I150" s="135" t="str">
        <f t="shared" si="5"/>
        <v/>
      </c>
      <c r="J150" s="135"/>
      <c r="K150" s="135"/>
      <c r="L150" s="117"/>
    </row>
    <row r="198" spans="27:40" x14ac:dyDescent="0.25">
      <c r="AA198" s="111" t="s">
        <v>132</v>
      </c>
      <c r="AB198" t="s">
        <v>14</v>
      </c>
      <c r="AC198" t="s">
        <v>135</v>
      </c>
      <c r="AE198" s="111" t="s">
        <v>134</v>
      </c>
      <c r="AI198" s="111" t="s">
        <v>132</v>
      </c>
      <c r="AJ198" t="s">
        <v>161</v>
      </c>
      <c r="AL198" s="111" t="s">
        <v>132</v>
      </c>
      <c r="AM198" t="s">
        <v>162</v>
      </c>
      <c r="AN198" t="s">
        <v>133</v>
      </c>
    </row>
    <row r="199" spans="27:40" x14ac:dyDescent="0.25">
      <c r="AA199" s="118" t="s">
        <v>170</v>
      </c>
      <c r="AB199" s="119">
        <v>1.0546875</v>
      </c>
      <c r="AC199" s="120">
        <v>1</v>
      </c>
      <c r="AE199" s="111" t="s">
        <v>3</v>
      </c>
      <c r="AF199" s="111" t="s">
        <v>4</v>
      </c>
      <c r="AG199" t="s">
        <v>137</v>
      </c>
      <c r="AI199" s="118" t="s">
        <v>138</v>
      </c>
      <c r="AJ199" s="120">
        <v>70.931034482758619</v>
      </c>
      <c r="AL199" s="118" t="s">
        <v>170</v>
      </c>
      <c r="AM199" s="120">
        <v>180</v>
      </c>
      <c r="AN199" s="120">
        <v>172</v>
      </c>
    </row>
    <row r="200" spans="27:40" x14ac:dyDescent="0.25">
      <c r="AA200" s="118" t="s">
        <v>195</v>
      </c>
      <c r="AB200" s="119">
        <v>1.0180952380952382</v>
      </c>
      <c r="AC200" s="120">
        <v>1</v>
      </c>
      <c r="AE200" t="s">
        <v>138</v>
      </c>
      <c r="AF200" t="s">
        <v>173</v>
      </c>
      <c r="AG200" s="119">
        <v>0.14304264882057938</v>
      </c>
      <c r="AI200" s="118" t="s">
        <v>51</v>
      </c>
      <c r="AJ200" s="120">
        <v>50.2</v>
      </c>
      <c r="AL200" s="118" t="s">
        <v>195</v>
      </c>
      <c r="AM200" s="120">
        <v>174</v>
      </c>
      <c r="AN200" s="120">
        <v>170</v>
      </c>
    </row>
    <row r="201" spans="27:40" x14ac:dyDescent="0.25">
      <c r="AA201" s="118" t="s">
        <v>171</v>
      </c>
      <c r="AB201" s="119">
        <v>1.0350694444444444</v>
      </c>
      <c r="AC201" s="120">
        <v>1</v>
      </c>
      <c r="AF201" t="s">
        <v>174</v>
      </c>
      <c r="AG201" s="119">
        <v>0.15749908209699717</v>
      </c>
      <c r="AI201" s="118" t="s">
        <v>139</v>
      </c>
      <c r="AJ201" s="120">
        <v>16.25</v>
      </c>
      <c r="AL201" s="118" t="s">
        <v>171</v>
      </c>
      <c r="AM201" s="120">
        <v>181</v>
      </c>
      <c r="AN201" s="120">
        <v>175</v>
      </c>
    </row>
    <row r="202" spans="27:40" x14ac:dyDescent="0.25">
      <c r="AA202" s="118" t="s">
        <v>172</v>
      </c>
      <c r="AB202" s="119">
        <v>1.0249999999999999</v>
      </c>
      <c r="AC202" s="120">
        <v>1</v>
      </c>
      <c r="AF202" t="s">
        <v>175</v>
      </c>
      <c r="AG202" s="119">
        <v>0.14874912098571322</v>
      </c>
      <c r="AI202" s="118" t="s">
        <v>140</v>
      </c>
      <c r="AJ202" s="120">
        <v>44.888888888888886</v>
      </c>
      <c r="AL202" s="118" t="s">
        <v>172</v>
      </c>
      <c r="AM202" s="120">
        <v>179</v>
      </c>
      <c r="AN202" s="120">
        <v>175</v>
      </c>
    </row>
    <row r="203" spans="27:40" x14ac:dyDescent="0.25">
      <c r="AA203" s="118" t="s">
        <v>173</v>
      </c>
      <c r="AB203" s="119">
        <v>1.097267080745342</v>
      </c>
      <c r="AC203" s="120">
        <v>1</v>
      </c>
      <c r="AF203" t="s">
        <v>176</v>
      </c>
      <c r="AG203" s="119">
        <v>0.13999899039189626</v>
      </c>
      <c r="AI203" s="118" t="s">
        <v>144</v>
      </c>
      <c r="AJ203" s="120">
        <v>28.214285714285715</v>
      </c>
      <c r="AL203" s="118" t="s">
        <v>173</v>
      </c>
      <c r="AM203" s="120">
        <v>325</v>
      </c>
      <c r="AN203" s="120">
        <v>305</v>
      </c>
    </row>
    <row r="204" spans="27:40" x14ac:dyDescent="0.25">
      <c r="AA204" s="118" t="s">
        <v>174</v>
      </c>
      <c r="AB204" s="119">
        <v>1</v>
      </c>
      <c r="AC204" s="120">
        <v>1</v>
      </c>
      <c r="AF204" t="s">
        <v>177</v>
      </c>
      <c r="AG204" s="119">
        <v>0.14266904159386834</v>
      </c>
      <c r="AI204" s="118" t="s">
        <v>145</v>
      </c>
      <c r="AJ204" s="120">
        <v>37.277777777777779</v>
      </c>
      <c r="AL204" s="118" t="s">
        <v>174</v>
      </c>
      <c r="AM204" s="120">
        <v>326</v>
      </c>
      <c r="AN204" s="120">
        <v>317</v>
      </c>
    </row>
    <row r="205" spans="27:40" x14ac:dyDescent="0.25">
      <c r="AA205" s="118" t="s">
        <v>175</v>
      </c>
      <c r="AB205" s="119">
        <v>1.0916666666666666</v>
      </c>
      <c r="AC205" s="120">
        <v>1</v>
      </c>
      <c r="AF205" t="s">
        <v>178</v>
      </c>
      <c r="AG205" s="119">
        <v>0.14087417777616906</v>
      </c>
      <c r="AI205" s="118" t="s">
        <v>143</v>
      </c>
      <c r="AJ205" s="120">
        <v>28.5</v>
      </c>
      <c r="AL205" s="118" t="s">
        <v>175</v>
      </c>
      <c r="AM205" s="120">
        <v>330</v>
      </c>
      <c r="AN205" s="120">
        <v>310</v>
      </c>
    </row>
    <row r="206" spans="27:40" x14ac:dyDescent="0.25">
      <c r="AA206" s="118" t="s">
        <v>176</v>
      </c>
      <c r="AB206" s="119">
        <v>0.93333333333333324</v>
      </c>
      <c r="AC206" s="120">
        <v>1</v>
      </c>
      <c r="AF206" t="s">
        <v>179</v>
      </c>
      <c r="AG206" s="119">
        <v>0.13999937778054317</v>
      </c>
      <c r="AI206" s="118" t="s">
        <v>207</v>
      </c>
      <c r="AJ206" s="120">
        <v>90</v>
      </c>
      <c r="AL206" s="118" t="s">
        <v>176</v>
      </c>
      <c r="AM206" s="120">
        <v>335</v>
      </c>
      <c r="AN206" s="120">
        <v>350</v>
      </c>
    </row>
    <row r="207" spans="27:40" x14ac:dyDescent="0.25">
      <c r="AA207" s="118" t="s">
        <v>177</v>
      </c>
      <c r="AB207" s="119">
        <v>1.0709249084249084</v>
      </c>
      <c r="AC207" s="120">
        <v>1</v>
      </c>
      <c r="AF207" t="s">
        <v>180</v>
      </c>
      <c r="AG207" s="119">
        <v>0.14988148171223903</v>
      </c>
      <c r="AI207" s="118" t="s">
        <v>208</v>
      </c>
      <c r="AJ207" s="120">
        <v>85</v>
      </c>
      <c r="AL207" s="118" t="s">
        <v>177</v>
      </c>
      <c r="AM207" s="120">
        <v>361</v>
      </c>
      <c r="AN207" s="120">
        <v>348</v>
      </c>
    </row>
    <row r="208" spans="27:40" x14ac:dyDescent="0.25">
      <c r="AA208" s="118" t="s">
        <v>178</v>
      </c>
      <c r="AB208" s="119">
        <v>1.0024999999999999</v>
      </c>
      <c r="AC208" s="120">
        <v>1</v>
      </c>
      <c r="AF208" t="s">
        <v>182</v>
      </c>
      <c r="AG208" s="119">
        <v>0.14000107029858225</v>
      </c>
      <c r="AI208" s="118" t="s">
        <v>209</v>
      </c>
      <c r="AJ208" s="120">
        <v>75</v>
      </c>
      <c r="AL208" s="118" t="s">
        <v>178</v>
      </c>
      <c r="AM208" s="120">
        <v>321</v>
      </c>
      <c r="AN208" s="120">
        <v>320</v>
      </c>
    </row>
    <row r="209" spans="27:40" x14ac:dyDescent="0.25">
      <c r="AA209" s="118" t="s">
        <v>179</v>
      </c>
      <c r="AB209" s="119">
        <v>1.0294117647058825</v>
      </c>
      <c r="AC209" s="120">
        <v>1</v>
      </c>
      <c r="AF209" t="s">
        <v>183</v>
      </c>
      <c r="AG209" s="119">
        <v>0.140001167945139</v>
      </c>
      <c r="AI209" s="118" t="s">
        <v>210</v>
      </c>
      <c r="AJ209" s="120">
        <v>64</v>
      </c>
      <c r="AL209" s="118" t="s">
        <v>179</v>
      </c>
      <c r="AM209" s="120">
        <v>170</v>
      </c>
      <c r="AN209" s="120">
        <v>165</v>
      </c>
    </row>
    <row r="210" spans="27:40" x14ac:dyDescent="0.25">
      <c r="AA210" s="118" t="s">
        <v>180</v>
      </c>
      <c r="AB210" s="119">
        <v>1.0735294117647058</v>
      </c>
      <c r="AC210" s="120">
        <v>1</v>
      </c>
      <c r="AF210" t="s">
        <v>184</v>
      </c>
      <c r="AG210" s="119">
        <v>0.13222330900709406</v>
      </c>
      <c r="AI210" s="118" t="s">
        <v>211</v>
      </c>
      <c r="AJ210" s="120">
        <v>90</v>
      </c>
      <c r="AL210" s="118" t="s">
        <v>180</v>
      </c>
      <c r="AM210" s="120">
        <v>368</v>
      </c>
      <c r="AN210" s="120">
        <v>340</v>
      </c>
    </row>
    <row r="211" spans="27:40" x14ac:dyDescent="0.25">
      <c r="AA211" s="118" t="s">
        <v>181</v>
      </c>
      <c r="AB211" s="119">
        <v>1.0417632721003507</v>
      </c>
      <c r="AC211" s="120">
        <v>1</v>
      </c>
      <c r="AF211" t="s">
        <v>185</v>
      </c>
      <c r="AG211" s="119">
        <v>0.140001167945139</v>
      </c>
      <c r="AI211" s="118" t="s">
        <v>212</v>
      </c>
      <c r="AJ211" s="120">
        <v>85</v>
      </c>
      <c r="AL211" s="118" t="s">
        <v>181</v>
      </c>
      <c r="AM211" s="120">
        <v>352</v>
      </c>
      <c r="AN211" s="120">
        <v>335</v>
      </c>
    </row>
    <row r="212" spans="27:40" x14ac:dyDescent="0.25">
      <c r="AA212" s="118" t="s">
        <v>182</v>
      </c>
      <c r="AB212" s="119">
        <v>1</v>
      </c>
      <c r="AC212" s="120">
        <v>1</v>
      </c>
      <c r="AF212" t="s">
        <v>186</v>
      </c>
      <c r="AG212" s="119">
        <v>0.140001167945139</v>
      </c>
      <c r="AI212" s="118" t="s">
        <v>213</v>
      </c>
      <c r="AJ212" s="120">
        <v>70</v>
      </c>
      <c r="AL212" s="118" t="s">
        <v>182</v>
      </c>
      <c r="AM212" s="120">
        <v>175</v>
      </c>
      <c r="AN212" s="120">
        <v>175</v>
      </c>
    </row>
    <row r="213" spans="27:40" x14ac:dyDescent="0.25">
      <c r="AA213" s="118" t="s">
        <v>183</v>
      </c>
      <c r="AB213" s="119">
        <v>1</v>
      </c>
      <c r="AC213" s="120">
        <v>1</v>
      </c>
      <c r="AF213" t="s">
        <v>187</v>
      </c>
      <c r="AG213" s="119">
        <v>0.140001167945139</v>
      </c>
      <c r="AI213" s="118" t="s">
        <v>214</v>
      </c>
      <c r="AJ213" s="120">
        <v>70</v>
      </c>
      <c r="AL213" s="118" t="s">
        <v>183</v>
      </c>
      <c r="AM213" s="120">
        <v>180</v>
      </c>
      <c r="AN213" s="120">
        <v>180</v>
      </c>
    </row>
    <row r="214" spans="27:40" x14ac:dyDescent="0.25">
      <c r="AA214" s="118" t="s">
        <v>184</v>
      </c>
      <c r="AB214" s="119">
        <v>1.0337777777777777</v>
      </c>
      <c r="AC214" s="120">
        <v>1</v>
      </c>
      <c r="AF214" t="s">
        <v>189</v>
      </c>
      <c r="AG214" s="119">
        <v>0.140001167945139</v>
      </c>
      <c r="AI214" s="118" t="s">
        <v>215</v>
      </c>
      <c r="AJ214" s="120">
        <v>85</v>
      </c>
      <c r="AL214" s="118" t="s">
        <v>184</v>
      </c>
      <c r="AM214" s="120">
        <v>181</v>
      </c>
      <c r="AN214" s="120">
        <v>179</v>
      </c>
    </row>
    <row r="215" spans="27:40" x14ac:dyDescent="0.25">
      <c r="AA215" s="118" t="s">
        <v>185</v>
      </c>
      <c r="AB215" s="119">
        <v>1.0444444444444445</v>
      </c>
      <c r="AC215" s="120">
        <v>1</v>
      </c>
      <c r="AE215" t="s">
        <v>51</v>
      </c>
      <c r="AF215" t="s">
        <v>181</v>
      </c>
      <c r="AG215" s="119">
        <v>0.14591708220999089</v>
      </c>
      <c r="AI215" s="118" t="s">
        <v>216</v>
      </c>
      <c r="AJ215" s="120">
        <v>90</v>
      </c>
      <c r="AL215" s="118" t="s">
        <v>185</v>
      </c>
      <c r="AM215" s="120">
        <v>180</v>
      </c>
      <c r="AN215" s="120">
        <v>176</v>
      </c>
    </row>
    <row r="216" spans="27:40" x14ac:dyDescent="0.25">
      <c r="AA216" s="118" t="s">
        <v>186</v>
      </c>
      <c r="AB216" s="119">
        <v>1</v>
      </c>
      <c r="AC216" s="120">
        <v>1</v>
      </c>
      <c r="AF216" t="s">
        <v>188</v>
      </c>
      <c r="AG216" s="119">
        <v>0.14300741718903581</v>
      </c>
      <c r="AI216" s="118" t="s">
        <v>217</v>
      </c>
      <c r="AJ216" s="120">
        <v>90</v>
      </c>
      <c r="AL216" s="118" t="s">
        <v>186</v>
      </c>
      <c r="AM216" s="120">
        <v>179</v>
      </c>
      <c r="AN216" s="120">
        <v>179</v>
      </c>
    </row>
    <row r="217" spans="27:40" x14ac:dyDescent="0.25">
      <c r="AA217" s="118" t="s">
        <v>187</v>
      </c>
      <c r="AB217" s="119">
        <v>1</v>
      </c>
      <c r="AC217" s="120">
        <v>1</v>
      </c>
      <c r="AE217" t="s">
        <v>139</v>
      </c>
      <c r="AF217" t="s">
        <v>171</v>
      </c>
      <c r="AG217" s="119">
        <v>0.14934660858743001</v>
      </c>
      <c r="AI217" s="118" t="s">
        <v>218</v>
      </c>
      <c r="AJ217" s="120">
        <v>60</v>
      </c>
      <c r="AL217" s="118" t="s">
        <v>187</v>
      </c>
      <c r="AM217" s="120">
        <v>170</v>
      </c>
      <c r="AN217" s="120">
        <v>170</v>
      </c>
    </row>
    <row r="218" spans="27:40" x14ac:dyDescent="0.25">
      <c r="AA218" s="118" t="s">
        <v>188</v>
      </c>
      <c r="AB218" s="119">
        <v>1.0107142857142857</v>
      </c>
      <c r="AC218" s="120">
        <v>1</v>
      </c>
      <c r="AF218" t="s">
        <v>181</v>
      </c>
      <c r="AG218" s="119">
        <v>0.14002019522046449</v>
      </c>
      <c r="AI218" s="118" t="s">
        <v>219</v>
      </c>
      <c r="AJ218" s="120">
        <v>75</v>
      </c>
      <c r="AL218" s="118" t="s">
        <v>188</v>
      </c>
      <c r="AM218" s="120">
        <v>178</v>
      </c>
      <c r="AN218" s="120">
        <v>175</v>
      </c>
    </row>
    <row r="219" spans="27:40" x14ac:dyDescent="0.25">
      <c r="AA219" s="118" t="s">
        <v>189</v>
      </c>
      <c r="AB219" s="119">
        <v>1.075</v>
      </c>
      <c r="AC219" s="120">
        <v>1</v>
      </c>
      <c r="AF219" t="s">
        <v>185</v>
      </c>
      <c r="AG219" s="119">
        <v>0.15864049159075827</v>
      </c>
      <c r="AI219" s="118" t="s">
        <v>220</v>
      </c>
      <c r="AJ219" s="120">
        <v>85</v>
      </c>
      <c r="AL219" s="118" t="s">
        <v>189</v>
      </c>
      <c r="AM219" s="120">
        <v>186</v>
      </c>
      <c r="AN219" s="120">
        <v>183</v>
      </c>
    </row>
    <row r="220" spans="27:40" x14ac:dyDescent="0.25">
      <c r="AA220" s="118" t="s">
        <v>190</v>
      </c>
      <c r="AB220" s="119">
        <v>1.0444444444444443</v>
      </c>
      <c r="AC220" s="120">
        <v>1</v>
      </c>
      <c r="AE220" t="s">
        <v>140</v>
      </c>
      <c r="AF220" t="s">
        <v>177</v>
      </c>
      <c r="AG220" s="119">
        <v>0.14000373343289155</v>
      </c>
      <c r="AI220" s="118" t="s">
        <v>221</v>
      </c>
      <c r="AJ220" s="120">
        <v>64</v>
      </c>
      <c r="AL220" s="118" t="s">
        <v>190</v>
      </c>
      <c r="AM220" s="120">
        <v>165</v>
      </c>
      <c r="AN220" s="120">
        <v>159</v>
      </c>
    </row>
    <row r="221" spans="27:40" x14ac:dyDescent="0.25">
      <c r="AA221" s="118" t="s">
        <v>191</v>
      </c>
      <c r="AB221" s="119">
        <v>1.0311111111111111</v>
      </c>
      <c r="AC221" s="120">
        <v>1</v>
      </c>
      <c r="AF221" t="s">
        <v>181</v>
      </c>
      <c r="AG221" s="119">
        <v>0.14865166148963754</v>
      </c>
      <c r="AI221" s="118" t="s">
        <v>222</v>
      </c>
      <c r="AJ221" s="120">
        <v>90</v>
      </c>
      <c r="AL221" s="118" t="s">
        <v>191</v>
      </c>
      <c r="AM221" s="120">
        <v>170</v>
      </c>
      <c r="AN221" s="120">
        <v>165</v>
      </c>
    </row>
    <row r="222" spans="27:40" x14ac:dyDescent="0.25">
      <c r="AA222" s="118" t="s">
        <v>192</v>
      </c>
      <c r="AB222" s="119">
        <v>1</v>
      </c>
      <c r="AC222" s="120">
        <v>1</v>
      </c>
      <c r="AF222" t="s">
        <v>183</v>
      </c>
      <c r="AG222" s="119">
        <v>0.13999500172567689</v>
      </c>
      <c r="AI222" s="118" t="s">
        <v>223</v>
      </c>
      <c r="AJ222" s="120">
        <v>92</v>
      </c>
      <c r="AL222" s="118" t="s">
        <v>192</v>
      </c>
      <c r="AM222" s="120">
        <v>156</v>
      </c>
      <c r="AN222" s="120">
        <v>156</v>
      </c>
    </row>
    <row r="223" spans="27:40" x14ac:dyDescent="0.25">
      <c r="AA223" s="118" t="s">
        <v>193</v>
      </c>
      <c r="AB223" s="119">
        <v>1.0111111111111111</v>
      </c>
      <c r="AC223" s="120">
        <v>1</v>
      </c>
      <c r="AF223" t="s">
        <v>186</v>
      </c>
      <c r="AG223" s="119">
        <v>0.13999500172567686</v>
      </c>
      <c r="AI223" s="118" t="s">
        <v>224</v>
      </c>
      <c r="AJ223" s="120">
        <v>85</v>
      </c>
      <c r="AL223" s="118" t="s">
        <v>193</v>
      </c>
      <c r="AM223" s="120">
        <v>177</v>
      </c>
      <c r="AN223" s="120">
        <v>175</v>
      </c>
    </row>
    <row r="224" spans="27:40" x14ac:dyDescent="0.25">
      <c r="AA224" s="118" t="s">
        <v>194</v>
      </c>
      <c r="AB224" s="119">
        <v>1.02</v>
      </c>
      <c r="AC224" s="120">
        <v>1</v>
      </c>
      <c r="AF224" t="s">
        <v>188</v>
      </c>
      <c r="AG224" s="119">
        <v>0.13999729473826591</v>
      </c>
      <c r="AI224" s="118" t="s">
        <v>225</v>
      </c>
      <c r="AJ224" s="120">
        <v>75</v>
      </c>
      <c r="AL224" s="118" t="s">
        <v>194</v>
      </c>
      <c r="AM224" s="120">
        <v>163</v>
      </c>
      <c r="AN224" s="120">
        <v>160</v>
      </c>
    </row>
    <row r="225" spans="27:40" x14ac:dyDescent="0.25">
      <c r="AA225" s="118" t="s">
        <v>196</v>
      </c>
      <c r="AB225" s="119">
        <v>1.0111111111111111</v>
      </c>
      <c r="AC225" s="120">
        <v>1</v>
      </c>
      <c r="AF225" t="s">
        <v>189</v>
      </c>
      <c r="AG225" s="119">
        <v>0.13999270871308783</v>
      </c>
      <c r="AI225" s="118" t="s">
        <v>226</v>
      </c>
      <c r="AJ225" s="120">
        <v>70</v>
      </c>
      <c r="AL225" s="118" t="s">
        <v>196</v>
      </c>
      <c r="AM225" s="120">
        <v>177</v>
      </c>
      <c r="AN225" s="120">
        <v>175</v>
      </c>
    </row>
    <row r="226" spans="27:40" x14ac:dyDescent="0.25">
      <c r="AA226" s="118" t="s">
        <v>197</v>
      </c>
      <c r="AB226" s="119">
        <v>1.0182539682539682</v>
      </c>
      <c r="AC226" s="120">
        <v>1</v>
      </c>
      <c r="AE226" t="s">
        <v>144</v>
      </c>
      <c r="AF226" t="s">
        <v>173</v>
      </c>
      <c r="AG226" s="119">
        <v>0.16099241644528547</v>
      </c>
      <c r="AI226" s="118" t="s">
        <v>227</v>
      </c>
      <c r="AJ226" s="120">
        <v>25</v>
      </c>
      <c r="AL226" s="118" t="s">
        <v>197</v>
      </c>
      <c r="AM226" s="120">
        <v>163</v>
      </c>
      <c r="AN226" s="120">
        <v>160</v>
      </c>
    </row>
    <row r="227" spans="27:40" x14ac:dyDescent="0.25">
      <c r="AA227" s="118" t="s">
        <v>198</v>
      </c>
      <c r="AB227" s="119">
        <v>1.0214285714285714</v>
      </c>
      <c r="AC227" s="120">
        <v>1</v>
      </c>
      <c r="AF227" t="s">
        <v>174</v>
      </c>
      <c r="AG227" s="119">
        <v>0.12249448252817899</v>
      </c>
      <c r="AI227" s="118" t="s">
        <v>228</v>
      </c>
      <c r="AJ227" s="120">
        <v>20</v>
      </c>
      <c r="AL227" s="118" t="s">
        <v>198</v>
      </c>
      <c r="AM227" s="120">
        <v>177</v>
      </c>
      <c r="AN227" s="120">
        <v>175</v>
      </c>
    </row>
    <row r="228" spans="27:40" x14ac:dyDescent="0.25">
      <c r="AA228" s="118" t="s">
        <v>199</v>
      </c>
      <c r="AB228" s="119">
        <v>1.04</v>
      </c>
      <c r="AC228" s="120">
        <v>1</v>
      </c>
      <c r="AF228" t="s">
        <v>175</v>
      </c>
      <c r="AG228" s="119">
        <v>0.13999192354287252</v>
      </c>
      <c r="AI228" s="118" t="s">
        <v>229</v>
      </c>
      <c r="AJ228" s="120">
        <v>85</v>
      </c>
      <c r="AL228" s="118" t="s">
        <v>199</v>
      </c>
      <c r="AM228" s="120">
        <v>177</v>
      </c>
      <c r="AN228" s="120">
        <v>174</v>
      </c>
    </row>
    <row r="229" spans="27:40" x14ac:dyDescent="0.25">
      <c r="AA229" s="118" t="s">
        <v>168</v>
      </c>
      <c r="AB229" s="119">
        <v>1.0307425306751459</v>
      </c>
      <c r="AC229" s="120">
        <v>1</v>
      </c>
      <c r="AF229" t="s">
        <v>176</v>
      </c>
      <c r="AG229" s="119">
        <v>9.3327949028581672E-2</v>
      </c>
      <c r="AI229" s="118" t="s">
        <v>230</v>
      </c>
      <c r="AJ229" s="120">
        <v>90</v>
      </c>
      <c r="AL229" s="118" t="s">
        <v>168</v>
      </c>
      <c r="AM229" s="120">
        <v>6556</v>
      </c>
      <c r="AN229" s="120">
        <v>6398</v>
      </c>
    </row>
    <row r="230" spans="27:40" x14ac:dyDescent="0.25">
      <c r="AF230" t="s">
        <v>177</v>
      </c>
      <c r="AG230" s="119">
        <v>0.18665589805716337</v>
      </c>
      <c r="AI230" s="118" t="s">
        <v>233</v>
      </c>
      <c r="AJ230" s="120">
        <v>40</v>
      </c>
    </row>
    <row r="231" spans="27:40" x14ac:dyDescent="0.25">
      <c r="AF231" t="s">
        <v>178</v>
      </c>
      <c r="AG231" s="119">
        <v>0.13999192354287252</v>
      </c>
      <c r="AI231" s="118" t="s">
        <v>236</v>
      </c>
      <c r="AJ231" s="120">
        <v>38.4</v>
      </c>
      <c r="AL231" s="118"/>
      <c r="AM231" s="120"/>
      <c r="AN231" s="120"/>
    </row>
    <row r="232" spans="27:40" x14ac:dyDescent="0.25">
      <c r="AF232" t="s">
        <v>180</v>
      </c>
      <c r="AG232" s="119">
        <v>0.16799030825144701</v>
      </c>
      <c r="AI232" s="118" t="s">
        <v>235</v>
      </c>
      <c r="AJ232" s="120">
        <v>44.875</v>
      </c>
      <c r="AL232" s="118"/>
      <c r="AM232" s="120"/>
      <c r="AN232" s="120"/>
    </row>
    <row r="233" spans="27:40" x14ac:dyDescent="0.25">
      <c r="AF233" t="s">
        <v>182</v>
      </c>
      <c r="AG233" s="119">
        <v>0.14000913103028459</v>
      </c>
      <c r="AI233" s="118" t="s">
        <v>168</v>
      </c>
      <c r="AJ233" s="120">
        <v>52.442622950819676</v>
      </c>
      <c r="AL233" s="118"/>
      <c r="AM233" s="120"/>
      <c r="AN233" s="120"/>
    </row>
    <row r="234" spans="27:40" x14ac:dyDescent="0.25">
      <c r="AF234" t="s">
        <v>186</v>
      </c>
      <c r="AG234" s="119">
        <v>0.14000668965251581</v>
      </c>
      <c r="AL234" s="118"/>
      <c r="AM234" s="120"/>
      <c r="AN234" s="120"/>
    </row>
    <row r="235" spans="27:40" x14ac:dyDescent="0.25">
      <c r="AF235" t="s">
        <v>189</v>
      </c>
      <c r="AG235" s="119">
        <v>0.18200710965272085</v>
      </c>
      <c r="AL235" s="118"/>
      <c r="AM235" s="120"/>
      <c r="AN235" s="120"/>
    </row>
    <row r="236" spans="27:40" x14ac:dyDescent="0.25">
      <c r="AE236" t="s">
        <v>145</v>
      </c>
      <c r="AF236" t="s">
        <v>195</v>
      </c>
      <c r="AG236" s="119">
        <v>0.14001680201624192</v>
      </c>
      <c r="AL236" s="118"/>
      <c r="AM236" s="120"/>
      <c r="AN236" s="120"/>
    </row>
    <row r="237" spans="27:40" x14ac:dyDescent="0.25">
      <c r="AF237" t="s">
        <v>172</v>
      </c>
      <c r="AG237" s="119">
        <v>0.14001680201624195</v>
      </c>
      <c r="AL237" s="118"/>
      <c r="AM237" s="120"/>
      <c r="AN237" s="120"/>
    </row>
    <row r="238" spans="27:40" x14ac:dyDescent="0.25">
      <c r="AF238" t="s">
        <v>173</v>
      </c>
      <c r="AG238" s="119">
        <v>0.1600015384763315</v>
      </c>
      <c r="AL238" s="118"/>
      <c r="AM238" s="120"/>
      <c r="AN238" s="120"/>
    </row>
    <row r="239" spans="27:40" x14ac:dyDescent="0.25">
      <c r="AF239" t="s">
        <v>174</v>
      </c>
      <c r="AG239" s="119">
        <v>0.14000036197366661</v>
      </c>
      <c r="AL239" s="118"/>
      <c r="AM239" s="120"/>
      <c r="AN239" s="120"/>
    </row>
    <row r="240" spans="27:40" x14ac:dyDescent="0.25">
      <c r="AF240" t="s">
        <v>175</v>
      </c>
      <c r="AG240" s="119">
        <v>0.1633339196681316</v>
      </c>
      <c r="AL240" s="118"/>
      <c r="AM240" s="120"/>
      <c r="AN240" s="120"/>
    </row>
    <row r="241" spans="31:40" x14ac:dyDescent="0.25">
      <c r="AF241" t="s">
        <v>176</v>
      </c>
      <c r="AG241" s="119">
        <v>0.14000134616679005</v>
      </c>
      <c r="AL241" s="118"/>
      <c r="AM241" s="120"/>
      <c r="AN241" s="120"/>
    </row>
    <row r="242" spans="31:40" x14ac:dyDescent="0.25">
      <c r="AF242" t="s">
        <v>177</v>
      </c>
      <c r="AG242" s="119">
        <v>0.15750151443763882</v>
      </c>
      <c r="AL242" s="118"/>
      <c r="AM242" s="120"/>
      <c r="AN242" s="120"/>
    </row>
    <row r="243" spans="31:40" x14ac:dyDescent="0.25">
      <c r="AF243" t="s">
        <v>178</v>
      </c>
      <c r="AG243" s="119">
        <v>0.14000036197366661</v>
      </c>
      <c r="AL243" s="118"/>
      <c r="AM243" s="120"/>
      <c r="AN243" s="120"/>
    </row>
    <row r="244" spans="31:40" x14ac:dyDescent="0.25">
      <c r="AF244" t="s">
        <v>179</v>
      </c>
      <c r="AG244" s="119">
        <v>0.14823463529704572</v>
      </c>
      <c r="AL244" s="118"/>
      <c r="AM244" s="120"/>
      <c r="AN244" s="120"/>
    </row>
    <row r="245" spans="31:40" x14ac:dyDescent="0.25">
      <c r="AF245" t="s">
        <v>180</v>
      </c>
      <c r="AG245" s="119">
        <v>0.1539993155585975</v>
      </c>
      <c r="AL245" s="118"/>
      <c r="AM245" s="120"/>
      <c r="AN245" s="120"/>
    </row>
    <row r="246" spans="31:40" x14ac:dyDescent="0.25">
      <c r="AF246" t="s">
        <v>184</v>
      </c>
      <c r="AG246" s="119">
        <v>0.16800584368151938</v>
      </c>
      <c r="AL246" s="118"/>
      <c r="AM246" s="120"/>
      <c r="AN246" s="120"/>
    </row>
    <row r="247" spans="31:40" x14ac:dyDescent="0.25">
      <c r="AF247" t="s">
        <v>185</v>
      </c>
      <c r="AG247" s="119">
        <v>0.14000899798259178</v>
      </c>
      <c r="AL247" s="118"/>
      <c r="AM247" s="120"/>
      <c r="AN247" s="120"/>
    </row>
    <row r="248" spans="31:40" x14ac:dyDescent="0.25">
      <c r="AF248" t="s">
        <v>188</v>
      </c>
      <c r="AG248" s="119">
        <v>0.1400131262305841</v>
      </c>
    </row>
    <row r="249" spans="31:40" x14ac:dyDescent="0.25">
      <c r="AE249" t="s">
        <v>143</v>
      </c>
      <c r="AF249" t="s">
        <v>177</v>
      </c>
      <c r="AG249" s="119">
        <v>0.13999192354287249</v>
      </c>
    </row>
    <row r="250" spans="31:40" x14ac:dyDescent="0.25">
      <c r="AF250" t="s">
        <v>180</v>
      </c>
      <c r="AG250" s="119">
        <v>0.13999192354287252</v>
      </c>
    </row>
    <row r="251" spans="31:40" x14ac:dyDescent="0.25">
      <c r="AF251" t="s">
        <v>184</v>
      </c>
      <c r="AG251" s="119">
        <v>0.14560417958818433</v>
      </c>
    </row>
    <row r="252" spans="31:40" x14ac:dyDescent="0.25">
      <c r="AE252" t="s">
        <v>207</v>
      </c>
      <c r="AF252" t="s">
        <v>176</v>
      </c>
      <c r="AG252" s="119">
        <v>0.13999569244023263</v>
      </c>
    </row>
    <row r="253" spans="31:40" x14ac:dyDescent="0.25">
      <c r="AE253" t="s">
        <v>208</v>
      </c>
      <c r="AF253" t="s">
        <v>176</v>
      </c>
      <c r="AG253" s="119">
        <v>0.14000700035001751</v>
      </c>
    </row>
    <row r="254" spans="31:40" x14ac:dyDescent="0.25">
      <c r="AE254" t="s">
        <v>209</v>
      </c>
      <c r="AF254" t="s">
        <v>191</v>
      </c>
      <c r="AG254" s="119">
        <v>0.1456026473208604</v>
      </c>
    </row>
    <row r="255" spans="31:40" x14ac:dyDescent="0.25">
      <c r="AE255" t="s">
        <v>210</v>
      </c>
      <c r="AF255" t="s">
        <v>192</v>
      </c>
      <c r="AG255" s="119">
        <v>0.1399906672888474</v>
      </c>
    </row>
    <row r="256" spans="31:40" x14ac:dyDescent="0.25">
      <c r="AE256" t="s">
        <v>211</v>
      </c>
      <c r="AF256" t="s">
        <v>193</v>
      </c>
      <c r="AG256" s="119">
        <v>0.14310670782779336</v>
      </c>
    </row>
    <row r="257" spans="31:33" x14ac:dyDescent="0.25">
      <c r="AE257" t="s">
        <v>212</v>
      </c>
      <c r="AF257" t="s">
        <v>194</v>
      </c>
      <c r="AG257" s="119">
        <v>0.14000700035001751</v>
      </c>
    </row>
    <row r="258" spans="31:33" x14ac:dyDescent="0.25">
      <c r="AE258" t="s">
        <v>213</v>
      </c>
      <c r="AF258" t="s">
        <v>195</v>
      </c>
      <c r="AG258" s="119">
        <v>0.14199716005679885</v>
      </c>
    </row>
    <row r="259" spans="31:33" x14ac:dyDescent="0.25">
      <c r="AE259" t="s">
        <v>214</v>
      </c>
      <c r="AF259" t="s">
        <v>198</v>
      </c>
      <c r="AG259" s="119">
        <v>0.14199716005679885</v>
      </c>
    </row>
    <row r="260" spans="31:33" x14ac:dyDescent="0.25">
      <c r="AE260" t="s">
        <v>215</v>
      </c>
      <c r="AF260" t="s">
        <v>199</v>
      </c>
      <c r="AG260" s="119">
        <v>0.14000700035001751</v>
      </c>
    </row>
    <row r="261" spans="31:33" x14ac:dyDescent="0.25">
      <c r="AE261" t="s">
        <v>216</v>
      </c>
      <c r="AF261" t="s">
        <v>196</v>
      </c>
      <c r="AG261" s="119">
        <v>0.14310670782779336</v>
      </c>
    </row>
    <row r="262" spans="31:33" x14ac:dyDescent="0.25">
      <c r="AE262" t="s">
        <v>217</v>
      </c>
      <c r="AF262" t="s">
        <v>190</v>
      </c>
      <c r="AG262" s="119">
        <v>0.14310670782779336</v>
      </c>
    </row>
    <row r="263" spans="31:33" x14ac:dyDescent="0.25">
      <c r="AE263" t="s">
        <v>218</v>
      </c>
      <c r="AF263" t="s">
        <v>190</v>
      </c>
      <c r="AG263" s="119">
        <v>0.14932337844143723</v>
      </c>
    </row>
    <row r="264" spans="31:33" x14ac:dyDescent="0.25">
      <c r="AE264" t="s">
        <v>219</v>
      </c>
      <c r="AF264" t="s">
        <v>195</v>
      </c>
      <c r="AG264" s="119">
        <v>0.1456026473208604</v>
      </c>
    </row>
    <row r="265" spans="31:33" x14ac:dyDescent="0.25">
      <c r="AE265" t="s">
        <v>220</v>
      </c>
      <c r="AF265" t="s">
        <v>198</v>
      </c>
      <c r="AG265" s="119">
        <v>0.14000700035001751</v>
      </c>
    </row>
    <row r="266" spans="31:33" x14ac:dyDescent="0.25">
      <c r="AE266" t="s">
        <v>221</v>
      </c>
      <c r="AF266" t="s">
        <v>199</v>
      </c>
      <c r="AG266" s="119">
        <v>0.1399906672888474</v>
      </c>
    </row>
    <row r="267" spans="31:33" x14ac:dyDescent="0.25">
      <c r="AE267" t="s">
        <v>222</v>
      </c>
      <c r="AF267" t="s">
        <v>191</v>
      </c>
      <c r="AG267" s="119">
        <v>0.14310670782779336</v>
      </c>
    </row>
    <row r="268" spans="31:33" x14ac:dyDescent="0.25">
      <c r="AE268" t="s">
        <v>223</v>
      </c>
      <c r="AF268" t="s">
        <v>192</v>
      </c>
      <c r="AG268" s="119">
        <v>0.13999569244023263</v>
      </c>
    </row>
    <row r="269" spans="31:33" x14ac:dyDescent="0.25">
      <c r="AE269" t="s">
        <v>224</v>
      </c>
      <c r="AF269" t="s">
        <v>193</v>
      </c>
      <c r="AG269" s="119">
        <v>0.14000700035001751</v>
      </c>
    </row>
    <row r="270" spans="31:33" x14ac:dyDescent="0.25">
      <c r="AE270" t="s">
        <v>225</v>
      </c>
      <c r="AF270" t="s">
        <v>194</v>
      </c>
      <c r="AG270" s="119">
        <v>0.1456026473208604</v>
      </c>
    </row>
    <row r="271" spans="31:33" x14ac:dyDescent="0.25">
      <c r="AE271" t="s">
        <v>226</v>
      </c>
      <c r="AF271" t="s">
        <v>197</v>
      </c>
      <c r="AG271" s="119">
        <v>0.14199716005679885</v>
      </c>
    </row>
    <row r="272" spans="31:33" x14ac:dyDescent="0.25">
      <c r="AE272" t="s">
        <v>227</v>
      </c>
      <c r="AF272" t="s">
        <v>199</v>
      </c>
      <c r="AG272" s="119">
        <v>0.15680784039201959</v>
      </c>
    </row>
    <row r="273" spans="31:33" x14ac:dyDescent="0.25">
      <c r="AE273" t="s">
        <v>228</v>
      </c>
      <c r="AF273" t="s">
        <v>198</v>
      </c>
      <c r="AG273" s="119">
        <v>0.14699020065328977</v>
      </c>
    </row>
    <row r="274" spans="31:33" x14ac:dyDescent="0.25">
      <c r="AE274" t="s">
        <v>229</v>
      </c>
      <c r="AF274" t="s">
        <v>196</v>
      </c>
      <c r="AG274" s="119">
        <v>0.14000700035001751</v>
      </c>
    </row>
    <row r="275" spans="31:33" x14ac:dyDescent="0.25">
      <c r="AE275" t="s">
        <v>230</v>
      </c>
      <c r="AF275" t="s">
        <v>197</v>
      </c>
      <c r="AG275" s="119">
        <v>0.14310670782779336</v>
      </c>
    </row>
    <row r="276" spans="31:33" x14ac:dyDescent="0.25">
      <c r="AE276" t="s">
        <v>233</v>
      </c>
      <c r="AF276" t="s">
        <v>171</v>
      </c>
      <c r="AG276" s="119">
        <v>0.13999502239920358</v>
      </c>
    </row>
    <row r="277" spans="31:33" x14ac:dyDescent="0.25">
      <c r="AF277" t="s">
        <v>177</v>
      </c>
      <c r="AG277" s="119">
        <v>0.13999502239920358</v>
      </c>
    </row>
    <row r="278" spans="31:33" x14ac:dyDescent="0.25">
      <c r="AE278" t="s">
        <v>236</v>
      </c>
      <c r="AF278" t="s">
        <v>170</v>
      </c>
      <c r="AG278" s="119">
        <v>0.1476644574840188</v>
      </c>
    </row>
    <row r="279" spans="31:33" x14ac:dyDescent="0.25">
      <c r="AF279" t="s">
        <v>171</v>
      </c>
      <c r="AG279" s="119">
        <v>0.13999502239920358</v>
      </c>
    </row>
    <row r="280" spans="31:33" x14ac:dyDescent="0.25">
      <c r="AE280" t="s">
        <v>235</v>
      </c>
      <c r="AF280" t="s">
        <v>171</v>
      </c>
      <c r="AG280" s="119">
        <v>0.14671543432025771</v>
      </c>
    </row>
    <row r="281" spans="31:33" x14ac:dyDescent="0.25">
      <c r="AF281" t="s">
        <v>172</v>
      </c>
      <c r="AG281" s="119">
        <v>0.14466873231836266</v>
      </c>
    </row>
    <row r="282" spans="31:33" x14ac:dyDescent="0.25">
      <c r="AF282" t="s">
        <v>180</v>
      </c>
      <c r="AG282" s="119">
        <v>0.14000373343289155</v>
      </c>
    </row>
    <row r="283" spans="31:33" x14ac:dyDescent="0.25">
      <c r="AF283" t="s">
        <v>190</v>
      </c>
      <c r="AG283" s="119"/>
    </row>
    <row r="284" spans="31:33" x14ac:dyDescent="0.25">
      <c r="AE284" t="s">
        <v>168</v>
      </c>
      <c r="AG284" s="119">
        <v>0.14430407227848011</v>
      </c>
    </row>
  </sheetData>
  <sheetProtection algorithmName="SHA-512" hashValue="UweI7VbO9yB7Bho2RNlsjHbjN7ZmuAYJxpRqAnrsRB+j0jACkduJXWA4N86ZbFwALRdG2sbjV8sw2KC0qfc7AA==" saltValue="n76g2MYa4RGPIlAhxg6ldQ==" spinCount="100000" sheet="1" objects="1" scenarios="1" pivotTables="0"/>
  <mergeCells count="350">
    <mergeCell ref="B1:L1"/>
    <mergeCell ref="B34:L34"/>
    <mergeCell ref="C35:E35"/>
    <mergeCell ref="F35:H35"/>
    <mergeCell ref="I35:K35"/>
    <mergeCell ref="C38:E38"/>
    <mergeCell ref="F38:H38"/>
    <mergeCell ref="I38:K38"/>
    <mergeCell ref="C39:E39"/>
    <mergeCell ref="F39:H39"/>
    <mergeCell ref="I39:K39"/>
    <mergeCell ref="C36:E36"/>
    <mergeCell ref="F36:H36"/>
    <mergeCell ref="I36:K36"/>
    <mergeCell ref="C37:E37"/>
    <mergeCell ref="F37:H37"/>
    <mergeCell ref="I37:K37"/>
    <mergeCell ref="C42:E42"/>
    <mergeCell ref="F42:H42"/>
    <mergeCell ref="I42:K42"/>
    <mergeCell ref="C43:E43"/>
    <mergeCell ref="F43:H43"/>
    <mergeCell ref="I43:K43"/>
    <mergeCell ref="C40:E40"/>
    <mergeCell ref="F40:H40"/>
    <mergeCell ref="I40:K40"/>
    <mergeCell ref="C41:E41"/>
    <mergeCell ref="F41:H41"/>
    <mergeCell ref="I41:K41"/>
    <mergeCell ref="C46:E46"/>
    <mergeCell ref="F46:H46"/>
    <mergeCell ref="I46:K46"/>
    <mergeCell ref="C47:E47"/>
    <mergeCell ref="F47:H47"/>
    <mergeCell ref="I47:K47"/>
    <mergeCell ref="C44:E44"/>
    <mergeCell ref="F44:H44"/>
    <mergeCell ref="I44:K44"/>
    <mergeCell ref="C45:E45"/>
    <mergeCell ref="F45:H45"/>
    <mergeCell ref="I45:K45"/>
    <mergeCell ref="C50:E50"/>
    <mergeCell ref="F50:H50"/>
    <mergeCell ref="I50:K50"/>
    <mergeCell ref="C51:E51"/>
    <mergeCell ref="F51:H51"/>
    <mergeCell ref="I51:K51"/>
    <mergeCell ref="C48:E48"/>
    <mergeCell ref="F48:H48"/>
    <mergeCell ref="I48:K48"/>
    <mergeCell ref="C49:E49"/>
    <mergeCell ref="F49:H49"/>
    <mergeCell ref="I49:K49"/>
    <mergeCell ref="C54:E54"/>
    <mergeCell ref="F54:H54"/>
    <mergeCell ref="I54:K54"/>
    <mergeCell ref="C55:E55"/>
    <mergeCell ref="F55:H55"/>
    <mergeCell ref="I55:K55"/>
    <mergeCell ref="C52:E52"/>
    <mergeCell ref="F52:H52"/>
    <mergeCell ref="I52:K52"/>
    <mergeCell ref="C53:E53"/>
    <mergeCell ref="F53:H53"/>
    <mergeCell ref="I53:K53"/>
    <mergeCell ref="C58:E58"/>
    <mergeCell ref="F58:H58"/>
    <mergeCell ref="I58:K58"/>
    <mergeCell ref="C59:E59"/>
    <mergeCell ref="F59:H59"/>
    <mergeCell ref="I59:K59"/>
    <mergeCell ref="C56:E56"/>
    <mergeCell ref="F56:H56"/>
    <mergeCell ref="I56:K56"/>
    <mergeCell ref="C57:E57"/>
    <mergeCell ref="F57:H57"/>
    <mergeCell ref="I57:K57"/>
    <mergeCell ref="C62:E62"/>
    <mergeCell ref="F62:H62"/>
    <mergeCell ref="I62:K62"/>
    <mergeCell ref="C63:E63"/>
    <mergeCell ref="F63:H63"/>
    <mergeCell ref="I63:K63"/>
    <mergeCell ref="C60:E60"/>
    <mergeCell ref="F60:H60"/>
    <mergeCell ref="I60:K60"/>
    <mergeCell ref="C61:E61"/>
    <mergeCell ref="F61:H61"/>
    <mergeCell ref="I61:K61"/>
    <mergeCell ref="C66:E66"/>
    <mergeCell ref="F66:H66"/>
    <mergeCell ref="I66:K66"/>
    <mergeCell ref="C67:E67"/>
    <mergeCell ref="F67:H67"/>
    <mergeCell ref="I67:K67"/>
    <mergeCell ref="C64:E64"/>
    <mergeCell ref="F64:H64"/>
    <mergeCell ref="I64:K64"/>
    <mergeCell ref="C65:E65"/>
    <mergeCell ref="F65:H65"/>
    <mergeCell ref="I65:K65"/>
    <mergeCell ref="C70:E70"/>
    <mergeCell ref="F70:H70"/>
    <mergeCell ref="I70:K70"/>
    <mergeCell ref="C71:E71"/>
    <mergeCell ref="F71:H71"/>
    <mergeCell ref="I71:K71"/>
    <mergeCell ref="C68:E68"/>
    <mergeCell ref="F68:H68"/>
    <mergeCell ref="I68:K68"/>
    <mergeCell ref="C69:E69"/>
    <mergeCell ref="F69:H69"/>
    <mergeCell ref="I69:K69"/>
    <mergeCell ref="C74:E74"/>
    <mergeCell ref="F74:H74"/>
    <mergeCell ref="I74:K74"/>
    <mergeCell ref="C75:E75"/>
    <mergeCell ref="F75:H75"/>
    <mergeCell ref="I75:K75"/>
    <mergeCell ref="C72:E72"/>
    <mergeCell ref="F72:H72"/>
    <mergeCell ref="I72:K72"/>
    <mergeCell ref="C73:E73"/>
    <mergeCell ref="F73:H73"/>
    <mergeCell ref="I73:K73"/>
    <mergeCell ref="C78:E78"/>
    <mergeCell ref="F78:H78"/>
    <mergeCell ref="I78:K78"/>
    <mergeCell ref="C79:E79"/>
    <mergeCell ref="F79:H79"/>
    <mergeCell ref="I79:K79"/>
    <mergeCell ref="C76:E76"/>
    <mergeCell ref="F76:H76"/>
    <mergeCell ref="I76:K76"/>
    <mergeCell ref="C77:E77"/>
    <mergeCell ref="F77:H77"/>
    <mergeCell ref="I77:K77"/>
    <mergeCell ref="C82:E82"/>
    <mergeCell ref="F82:H82"/>
    <mergeCell ref="I82:K82"/>
    <mergeCell ref="C83:E83"/>
    <mergeCell ref="F83:H83"/>
    <mergeCell ref="I83:K83"/>
    <mergeCell ref="C80:E80"/>
    <mergeCell ref="F80:H80"/>
    <mergeCell ref="I80:K80"/>
    <mergeCell ref="C81:E81"/>
    <mergeCell ref="F81:H81"/>
    <mergeCell ref="I81:K81"/>
    <mergeCell ref="C86:E86"/>
    <mergeCell ref="F86:H86"/>
    <mergeCell ref="I86:K86"/>
    <mergeCell ref="C87:E87"/>
    <mergeCell ref="F87:H87"/>
    <mergeCell ref="I87:K87"/>
    <mergeCell ref="C84:E84"/>
    <mergeCell ref="F84:H84"/>
    <mergeCell ref="I84:K84"/>
    <mergeCell ref="C85:E85"/>
    <mergeCell ref="F85:H85"/>
    <mergeCell ref="I85:K85"/>
    <mergeCell ref="C90:E90"/>
    <mergeCell ref="F90:H90"/>
    <mergeCell ref="I90:K90"/>
    <mergeCell ref="C91:E91"/>
    <mergeCell ref="F91:H91"/>
    <mergeCell ref="I91:K91"/>
    <mergeCell ref="C88:E88"/>
    <mergeCell ref="F88:H88"/>
    <mergeCell ref="I88:K88"/>
    <mergeCell ref="C89:E89"/>
    <mergeCell ref="F89:H89"/>
    <mergeCell ref="I89:K89"/>
    <mergeCell ref="C94:E94"/>
    <mergeCell ref="F94:H94"/>
    <mergeCell ref="I94:K94"/>
    <mergeCell ref="C95:E95"/>
    <mergeCell ref="F95:H95"/>
    <mergeCell ref="I95:K95"/>
    <mergeCell ref="C92:E92"/>
    <mergeCell ref="F92:H92"/>
    <mergeCell ref="I92:K92"/>
    <mergeCell ref="C93:E93"/>
    <mergeCell ref="F93:H93"/>
    <mergeCell ref="I93:K93"/>
    <mergeCell ref="C98:E98"/>
    <mergeCell ref="F98:H98"/>
    <mergeCell ref="I98:K98"/>
    <mergeCell ref="C99:E99"/>
    <mergeCell ref="F99:H99"/>
    <mergeCell ref="I99:K99"/>
    <mergeCell ref="C96:E96"/>
    <mergeCell ref="F96:H96"/>
    <mergeCell ref="I96:K96"/>
    <mergeCell ref="C97:E97"/>
    <mergeCell ref="F97:H97"/>
    <mergeCell ref="I97:K97"/>
    <mergeCell ref="C102:E102"/>
    <mergeCell ref="F102:H102"/>
    <mergeCell ref="I102:K102"/>
    <mergeCell ref="C103:E103"/>
    <mergeCell ref="F103:H103"/>
    <mergeCell ref="I103:K103"/>
    <mergeCell ref="C100:E100"/>
    <mergeCell ref="F100:H100"/>
    <mergeCell ref="I100:K100"/>
    <mergeCell ref="C101:E101"/>
    <mergeCell ref="F101:H101"/>
    <mergeCell ref="I101:K101"/>
    <mergeCell ref="C106:E106"/>
    <mergeCell ref="F106:H106"/>
    <mergeCell ref="I106:K106"/>
    <mergeCell ref="C107:E107"/>
    <mergeCell ref="F107:H107"/>
    <mergeCell ref="I107:K107"/>
    <mergeCell ref="C104:E104"/>
    <mergeCell ref="F104:H104"/>
    <mergeCell ref="I104:K104"/>
    <mergeCell ref="C105:E105"/>
    <mergeCell ref="F105:H105"/>
    <mergeCell ref="I105:K105"/>
    <mergeCell ref="C110:E110"/>
    <mergeCell ref="F110:H110"/>
    <mergeCell ref="I110:K110"/>
    <mergeCell ref="C111:E111"/>
    <mergeCell ref="F111:H111"/>
    <mergeCell ref="I111:K111"/>
    <mergeCell ref="C108:E108"/>
    <mergeCell ref="F108:H108"/>
    <mergeCell ref="I108:K108"/>
    <mergeCell ref="C109:E109"/>
    <mergeCell ref="F109:H109"/>
    <mergeCell ref="I109:K109"/>
    <mergeCell ref="C114:E114"/>
    <mergeCell ref="F114:H114"/>
    <mergeCell ref="I114:K114"/>
    <mergeCell ref="C115:E115"/>
    <mergeCell ref="F115:H115"/>
    <mergeCell ref="I115:K115"/>
    <mergeCell ref="C112:E112"/>
    <mergeCell ref="F112:H112"/>
    <mergeCell ref="I112:K112"/>
    <mergeCell ref="C113:E113"/>
    <mergeCell ref="F113:H113"/>
    <mergeCell ref="I113:K113"/>
    <mergeCell ref="C118:E118"/>
    <mergeCell ref="F118:H118"/>
    <mergeCell ref="I118:K118"/>
    <mergeCell ref="C119:E119"/>
    <mergeCell ref="F119:H119"/>
    <mergeCell ref="I119:K119"/>
    <mergeCell ref="C116:E116"/>
    <mergeCell ref="F116:H116"/>
    <mergeCell ref="I116:K116"/>
    <mergeCell ref="C117:E117"/>
    <mergeCell ref="F117:H117"/>
    <mergeCell ref="I117:K117"/>
    <mergeCell ref="C122:E122"/>
    <mergeCell ref="F122:H122"/>
    <mergeCell ref="I122:K122"/>
    <mergeCell ref="C123:E123"/>
    <mergeCell ref="F123:H123"/>
    <mergeCell ref="I123:K123"/>
    <mergeCell ref="C120:E120"/>
    <mergeCell ref="F120:H120"/>
    <mergeCell ref="I120:K120"/>
    <mergeCell ref="C121:E121"/>
    <mergeCell ref="F121:H121"/>
    <mergeCell ref="I121:K121"/>
    <mergeCell ref="C126:E126"/>
    <mergeCell ref="F126:H126"/>
    <mergeCell ref="I126:K126"/>
    <mergeCell ref="C127:E127"/>
    <mergeCell ref="F127:H127"/>
    <mergeCell ref="I127:K127"/>
    <mergeCell ref="C124:E124"/>
    <mergeCell ref="F124:H124"/>
    <mergeCell ref="I124:K124"/>
    <mergeCell ref="C125:E125"/>
    <mergeCell ref="F125:H125"/>
    <mergeCell ref="I125:K125"/>
    <mergeCell ref="C130:E130"/>
    <mergeCell ref="F130:H130"/>
    <mergeCell ref="I130:K130"/>
    <mergeCell ref="C131:E131"/>
    <mergeCell ref="F131:H131"/>
    <mergeCell ref="I131:K131"/>
    <mergeCell ref="C128:E128"/>
    <mergeCell ref="F128:H128"/>
    <mergeCell ref="I128:K128"/>
    <mergeCell ref="C129:E129"/>
    <mergeCell ref="F129:H129"/>
    <mergeCell ref="I129:K129"/>
    <mergeCell ref="C134:E134"/>
    <mergeCell ref="F134:H134"/>
    <mergeCell ref="I134:K134"/>
    <mergeCell ref="C135:E135"/>
    <mergeCell ref="F135:H135"/>
    <mergeCell ref="I135:K135"/>
    <mergeCell ref="C132:E132"/>
    <mergeCell ref="F132:H132"/>
    <mergeCell ref="I132:K132"/>
    <mergeCell ref="C133:E133"/>
    <mergeCell ref="F133:H133"/>
    <mergeCell ref="I133:K133"/>
    <mergeCell ref="C138:E138"/>
    <mergeCell ref="F138:H138"/>
    <mergeCell ref="I138:K138"/>
    <mergeCell ref="C139:E139"/>
    <mergeCell ref="F139:H139"/>
    <mergeCell ref="I139:K139"/>
    <mergeCell ref="C136:E136"/>
    <mergeCell ref="F136:H136"/>
    <mergeCell ref="I136:K136"/>
    <mergeCell ref="C137:E137"/>
    <mergeCell ref="F137:H137"/>
    <mergeCell ref="I137:K137"/>
    <mergeCell ref="C142:E142"/>
    <mergeCell ref="F142:H142"/>
    <mergeCell ref="I142:K142"/>
    <mergeCell ref="C143:E143"/>
    <mergeCell ref="F143:H143"/>
    <mergeCell ref="I143:K143"/>
    <mergeCell ref="C140:E140"/>
    <mergeCell ref="F140:H140"/>
    <mergeCell ref="I140:K140"/>
    <mergeCell ref="C141:E141"/>
    <mergeCell ref="F141:H141"/>
    <mergeCell ref="I141:K141"/>
    <mergeCell ref="C146:E146"/>
    <mergeCell ref="F146:H146"/>
    <mergeCell ref="I146:K146"/>
    <mergeCell ref="C147:E147"/>
    <mergeCell ref="F147:H147"/>
    <mergeCell ref="I147:K147"/>
    <mergeCell ref="C144:E144"/>
    <mergeCell ref="F144:H144"/>
    <mergeCell ref="I144:K144"/>
    <mergeCell ref="C145:E145"/>
    <mergeCell ref="F145:H145"/>
    <mergeCell ref="I145:K145"/>
    <mergeCell ref="C150:E150"/>
    <mergeCell ref="F150:H150"/>
    <mergeCell ref="I150:K150"/>
    <mergeCell ref="C148:E148"/>
    <mergeCell ref="F148:H148"/>
    <mergeCell ref="I148:K148"/>
    <mergeCell ref="C149:E149"/>
    <mergeCell ref="F149:H149"/>
    <mergeCell ref="I149:K149"/>
  </mergeCells>
  <pageMargins left="0.7" right="0.7" top="0.75" bottom="0.75" header="0.3" footer="0.3"/>
  <pageSetup paperSize="9" orientation="portrait" r:id="rId5"/>
  <drawing r:id="rId6"/>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BJ500"/>
  <sheetViews>
    <sheetView showGridLines="0" topLeftCell="A5" zoomScale="90" zoomScaleNormal="90" workbookViewId="0">
      <selection activeCell="I28" sqref="I28"/>
    </sheetView>
  </sheetViews>
  <sheetFormatPr defaultRowHeight="15.75" x14ac:dyDescent="0.25"/>
  <cols>
    <col min="1" max="1" width="2.7109375" style="89" customWidth="1" collapsed="1"/>
    <col min="2" max="2" width="20.5703125" style="110" bestFit="1" customWidth="1" collapsed="1"/>
    <col min="3" max="3" width="15.5703125" style="109" customWidth="1" collapsed="1"/>
    <col min="4" max="4" width="14.28515625" style="109" hidden="1" customWidth="1" collapsed="1"/>
    <col min="5" max="5" width="13.140625" style="109" hidden="1" customWidth="1" collapsed="1"/>
    <col min="6" max="6" width="9.140625" style="51" hidden="1" customWidth="1" collapsed="1"/>
    <col min="7" max="7" width="9.140625" style="51" customWidth="1" collapsed="1"/>
    <col min="8" max="8" width="20.5703125" style="110" customWidth="1" collapsed="1"/>
    <col min="9" max="9" width="16.7109375" style="110" customWidth="1" collapsed="1"/>
    <col min="10" max="10" width="12.7109375" style="110" hidden="1" customWidth="1" collapsed="1"/>
    <col min="11" max="11" width="11.85546875" style="110" hidden="1" customWidth="1" collapsed="1"/>
    <col min="12" max="12" width="9.140625" style="52" hidden="1" customWidth="1" collapsed="1"/>
    <col min="13" max="13" width="9.140625" style="52" customWidth="1" collapsed="1"/>
    <col min="14" max="14" width="20.5703125" style="107" customWidth="1" collapsed="1"/>
    <col min="15" max="15" width="14.7109375" style="107" customWidth="1" collapsed="1"/>
    <col min="16" max="16" width="9.42578125" style="107" hidden="1" customWidth="1" collapsed="1"/>
    <col min="17" max="17" width="11.85546875" style="107" hidden="1" customWidth="1" collapsed="1"/>
    <col min="18" max="18" width="9.140625" style="52" hidden="1" customWidth="1" collapsed="1"/>
    <col min="19" max="19" width="9.140625" style="52" customWidth="1" collapsed="1"/>
    <col min="20" max="20" width="20.5703125" style="107" customWidth="1" collapsed="1"/>
    <col min="21" max="21" width="14.7109375" style="107" customWidth="1" collapsed="1"/>
    <col min="22" max="22" width="9.42578125" style="107" hidden="1" customWidth="1" collapsed="1"/>
    <col min="23" max="23" width="11.85546875" style="107" hidden="1" customWidth="1" collapsed="1"/>
    <col min="24" max="24" width="9.140625" style="52" hidden="1" customWidth="1" collapsed="1"/>
    <col min="25" max="25" width="9.140625" style="52" customWidth="1" collapsed="1"/>
    <col min="26" max="26" width="20.5703125" style="107" customWidth="1" collapsed="1"/>
    <col min="27" max="27" width="14.7109375" style="107" hidden="1" customWidth="1" collapsed="1"/>
    <col min="28" max="28" width="9.42578125" style="107" customWidth="1" collapsed="1"/>
    <col min="29" max="29" width="11.85546875" style="107" customWidth="1" collapsed="1"/>
    <col min="30" max="30" width="9.140625" style="52" hidden="1" customWidth="1" collapsed="1"/>
    <col min="31" max="31" width="9.140625" style="52" customWidth="1" collapsed="1"/>
    <col min="32" max="32" width="20.5703125" style="107" customWidth="1" collapsed="1"/>
    <col min="33" max="33" width="14.7109375" style="107" customWidth="1" collapsed="1"/>
    <col min="34" max="34" width="9.42578125" style="107" hidden="1" customWidth="1" collapsed="1"/>
    <col min="35" max="35" width="11.85546875" style="107" hidden="1" customWidth="1" collapsed="1"/>
    <col min="36" max="36" width="9.140625" style="52" hidden="1" customWidth="1" collapsed="1"/>
    <col min="37" max="37" width="9.140625" style="52" customWidth="1" collapsed="1"/>
    <col min="38" max="38" width="20.5703125" style="107" customWidth="1" collapsed="1"/>
    <col min="39" max="39" width="14.7109375" style="107" customWidth="1" collapsed="1"/>
    <col min="40" max="40" width="9.42578125" style="107" hidden="1" customWidth="1" collapsed="1"/>
    <col min="41" max="41" width="11.85546875" style="107" hidden="1" customWidth="1" collapsed="1"/>
    <col min="42" max="42" width="9.140625" style="52" hidden="1" customWidth="1" collapsed="1"/>
    <col min="43" max="43" width="9.140625" style="52" customWidth="1" collapsed="1"/>
    <col min="44" max="44" width="20.5703125" style="107" customWidth="1" collapsed="1"/>
    <col min="45" max="45" width="14.7109375" style="107" customWidth="1" collapsed="1"/>
    <col min="46" max="46" width="9.42578125" style="107" hidden="1" customWidth="1" collapsed="1"/>
    <col min="47" max="47" width="11.85546875" style="107" hidden="1" customWidth="1" collapsed="1"/>
    <col min="48" max="48" width="9.140625" style="52" hidden="1" customWidth="1" collapsed="1"/>
    <col min="49" max="49" width="9.140625" style="52" customWidth="1" collapsed="1"/>
    <col min="50" max="50" width="20.5703125" style="107" customWidth="1" collapsed="1"/>
    <col min="51" max="51" width="14.7109375" style="107" customWidth="1" collapsed="1"/>
    <col min="52" max="52" width="9.42578125" style="107" hidden="1" customWidth="1" collapsed="1"/>
    <col min="53" max="53" width="11.85546875" style="107" hidden="1" customWidth="1" collapsed="1"/>
    <col min="54" max="54" width="9.140625" style="52" hidden="1" customWidth="1" collapsed="1"/>
    <col min="55" max="55" width="9.140625" style="52" customWidth="1" collapsed="1"/>
    <col min="56" max="56" width="20.5703125" style="107" customWidth="1" collapsed="1"/>
    <col min="57" max="57" width="14.7109375" style="107" customWidth="1" collapsed="1"/>
    <col min="58" max="58" width="9.42578125" style="107" hidden="1" customWidth="1" collapsed="1"/>
    <col min="59" max="59" width="11.85546875" style="107" hidden="1" customWidth="1" collapsed="1"/>
    <col min="60" max="60" width="9.140625" style="52" hidden="1" customWidth="1" collapsed="1"/>
    <col min="61" max="61" width="9.140625" style="52" customWidth="1" collapsed="1"/>
    <col min="62" max="62" width="12" style="89" bestFit="1" customWidth="1" collapsed="1"/>
    <col min="63" max="16384" width="9.140625" style="89" collapsed="1"/>
  </cols>
  <sheetData>
    <row r="1" spans="2:62" ht="18.75" x14ac:dyDescent="0.25">
      <c r="B1" s="151" t="s">
        <v>0</v>
      </c>
      <c r="C1" s="151"/>
      <c r="D1" s="151"/>
      <c r="E1" s="151"/>
      <c r="F1" s="151"/>
      <c r="G1" s="151"/>
      <c r="H1" s="151"/>
      <c r="I1" s="151"/>
      <c r="J1" s="151"/>
      <c r="K1" s="151"/>
      <c r="L1" s="151"/>
      <c r="M1" s="151"/>
      <c r="N1" s="151"/>
      <c r="O1" s="151"/>
      <c r="P1" s="151"/>
      <c r="Q1" s="151"/>
      <c r="R1" s="151"/>
      <c r="S1" s="151"/>
      <c r="T1" s="151"/>
      <c r="U1" s="151"/>
      <c r="V1" s="151"/>
      <c r="W1" s="151"/>
      <c r="X1" s="151"/>
      <c r="Y1" s="151"/>
      <c r="Z1" s="151"/>
      <c r="AA1" s="87"/>
      <c r="AB1" s="87"/>
      <c r="AC1" s="87"/>
      <c r="AD1" s="41"/>
      <c r="AE1" s="41"/>
      <c r="AF1" s="87"/>
      <c r="AG1" s="87"/>
      <c r="AH1" s="87"/>
      <c r="AI1" s="87"/>
      <c r="AJ1" s="41"/>
      <c r="AK1" s="41"/>
      <c r="AL1" s="87"/>
      <c r="AM1" s="87"/>
      <c r="AN1" s="87"/>
      <c r="AO1" s="87"/>
      <c r="AP1" s="41"/>
      <c r="AQ1" s="41"/>
      <c r="AR1" s="87"/>
      <c r="AS1" s="87"/>
      <c r="AT1" s="87"/>
      <c r="AU1" s="87"/>
      <c r="AV1" s="41"/>
      <c r="AW1" s="41"/>
      <c r="AX1" s="87"/>
      <c r="AY1" s="87"/>
      <c r="AZ1" s="87"/>
      <c r="BA1" s="87"/>
      <c r="BB1" s="41"/>
      <c r="BC1" s="41"/>
      <c r="BD1" s="87"/>
      <c r="BE1" s="87"/>
      <c r="BF1" s="87"/>
      <c r="BG1" s="87"/>
      <c r="BH1" s="41"/>
      <c r="BI1" s="42"/>
      <c r="BJ1" s="88"/>
    </row>
    <row r="2" spans="2:62" x14ac:dyDescent="0.25">
      <c r="B2" s="90" t="s">
        <v>13</v>
      </c>
      <c r="C2" s="156" t="s">
        <v>283</v>
      </c>
      <c r="D2" s="157"/>
      <c r="E2" s="157"/>
      <c r="F2" s="157"/>
      <c r="G2" s="158"/>
      <c r="H2" s="90" t="s">
        <v>12</v>
      </c>
      <c r="I2" s="159" t="s">
        <v>258</v>
      </c>
      <c r="J2" s="160"/>
      <c r="K2" s="160"/>
      <c r="L2" s="160"/>
      <c r="M2" s="160"/>
      <c r="N2" s="160"/>
      <c r="O2" s="160"/>
      <c r="P2" s="160"/>
      <c r="Q2" s="160"/>
      <c r="R2" s="160"/>
      <c r="S2" s="160"/>
      <c r="T2" s="160"/>
      <c r="U2" s="160"/>
      <c r="V2" s="160"/>
      <c r="W2" s="160"/>
      <c r="X2" s="160"/>
      <c r="Y2" s="160"/>
      <c r="Z2" s="161"/>
      <c r="AA2" s="91"/>
      <c r="AB2" s="91"/>
      <c r="AC2" s="91"/>
      <c r="AD2" s="43"/>
      <c r="AE2" s="43"/>
      <c r="AF2" s="91"/>
      <c r="AG2" s="91"/>
      <c r="AH2" s="91"/>
      <c r="AI2" s="91"/>
      <c r="AJ2" s="43"/>
      <c r="AK2" s="43"/>
      <c r="AL2" s="91"/>
      <c r="AM2" s="91"/>
      <c r="AN2" s="91"/>
      <c r="AO2" s="91"/>
      <c r="AP2" s="43"/>
      <c r="AQ2" s="43"/>
      <c r="AR2" s="91"/>
      <c r="AS2" s="91"/>
      <c r="AT2" s="91"/>
      <c r="AU2" s="91"/>
      <c r="AV2" s="43"/>
      <c r="AW2" s="43"/>
      <c r="AX2" s="91"/>
      <c r="AY2" s="91"/>
      <c r="AZ2" s="91"/>
      <c r="BA2" s="91"/>
      <c r="BB2" s="43"/>
      <c r="BC2" s="43"/>
      <c r="BD2" s="91"/>
      <c r="BE2" s="91"/>
      <c r="BF2" s="91"/>
      <c r="BG2" s="91"/>
      <c r="BH2" s="43"/>
      <c r="BI2" s="44"/>
      <c r="BJ2" s="88"/>
    </row>
    <row r="3" spans="2:62" x14ac:dyDescent="0.25">
      <c r="B3" s="90" t="s">
        <v>160</v>
      </c>
      <c r="C3" s="156" t="s">
        <v>169</v>
      </c>
      <c r="D3" s="157"/>
      <c r="E3" s="157"/>
      <c r="F3" s="157"/>
      <c r="G3" s="158"/>
      <c r="H3" s="90" t="s">
        <v>53</v>
      </c>
      <c r="I3" s="159" t="s">
        <v>237</v>
      </c>
      <c r="J3" s="160"/>
      <c r="K3" s="160"/>
      <c r="L3" s="160"/>
      <c r="M3" s="160"/>
      <c r="N3" s="160"/>
      <c r="O3" s="160"/>
      <c r="P3" s="160"/>
      <c r="Q3" s="160"/>
      <c r="R3" s="160"/>
      <c r="S3" s="160"/>
      <c r="T3" s="160"/>
      <c r="U3" s="160"/>
      <c r="V3" s="160"/>
      <c r="W3" s="160"/>
      <c r="X3" s="160"/>
      <c r="Y3" s="160"/>
      <c r="Z3" s="161"/>
      <c r="AA3" s="91"/>
      <c r="AB3" s="91"/>
      <c r="AC3" s="91"/>
      <c r="AD3" s="43"/>
      <c r="AE3" s="43"/>
      <c r="AF3" s="91"/>
      <c r="AG3" s="91"/>
      <c r="AH3" s="91"/>
      <c r="AI3" s="91"/>
      <c r="AJ3" s="43"/>
      <c r="AK3" s="43"/>
      <c r="AL3" s="91"/>
      <c r="AM3" s="91"/>
      <c r="AN3" s="91"/>
      <c r="AO3" s="91"/>
      <c r="AP3" s="43"/>
      <c r="AQ3" s="43"/>
      <c r="AR3" s="91"/>
      <c r="AS3" s="91"/>
      <c r="AT3" s="91"/>
      <c r="AU3" s="91"/>
      <c r="AV3" s="43"/>
      <c r="AW3" s="43"/>
      <c r="AX3" s="91"/>
      <c r="AY3" s="91"/>
      <c r="AZ3" s="91"/>
      <c r="BA3" s="91"/>
      <c r="BB3" s="43"/>
      <c r="BC3" s="43"/>
      <c r="BD3" s="91"/>
      <c r="BE3" s="91"/>
      <c r="BF3" s="91"/>
      <c r="BG3" s="91"/>
      <c r="BH3" s="43"/>
      <c r="BI3" s="44"/>
      <c r="BJ3" s="88"/>
    </row>
    <row r="4" spans="2:62" hidden="1" x14ac:dyDescent="0.25">
      <c r="B4" s="92"/>
      <c r="C4" s="92"/>
      <c r="D4" s="92"/>
      <c r="E4" s="92"/>
      <c r="F4" s="45"/>
      <c r="G4" s="45"/>
      <c r="H4" s="92"/>
      <c r="I4" s="92"/>
      <c r="J4" s="92"/>
      <c r="K4" s="92"/>
      <c r="L4" s="45"/>
      <c r="M4" s="45"/>
      <c r="N4" s="92"/>
      <c r="O4" s="92"/>
      <c r="P4" s="92"/>
      <c r="Q4" s="92"/>
      <c r="R4" s="45"/>
      <c r="S4" s="45"/>
      <c r="T4" s="92"/>
      <c r="U4" s="92"/>
      <c r="V4" s="92"/>
      <c r="W4" s="92"/>
      <c r="X4" s="45"/>
      <c r="Y4" s="45"/>
      <c r="Z4" s="92"/>
      <c r="AA4" s="93"/>
      <c r="AB4" s="93"/>
      <c r="AC4" s="93"/>
      <c r="AD4" s="46"/>
      <c r="AE4" s="46"/>
      <c r="AF4" s="93"/>
      <c r="AG4" s="93"/>
      <c r="AH4" s="93"/>
      <c r="AI4" s="93"/>
      <c r="AJ4" s="46"/>
      <c r="AK4" s="46"/>
      <c r="AL4" s="93"/>
      <c r="AM4" s="93"/>
      <c r="AN4" s="93"/>
      <c r="AO4" s="93"/>
      <c r="AP4" s="46"/>
      <c r="AQ4" s="46"/>
      <c r="AR4" s="93"/>
      <c r="AS4" s="93"/>
      <c r="AT4" s="93"/>
      <c r="AU4" s="93"/>
      <c r="AV4" s="46"/>
      <c r="AW4" s="46"/>
      <c r="AX4" s="93"/>
      <c r="AY4" s="93"/>
      <c r="AZ4" s="93"/>
      <c r="BA4" s="93"/>
      <c r="BB4" s="46"/>
      <c r="BC4" s="46"/>
      <c r="BD4" s="93"/>
      <c r="BE4" s="93"/>
      <c r="BF4" s="93"/>
      <c r="BG4" s="93"/>
      <c r="BH4" s="46"/>
      <c r="BI4" s="47"/>
      <c r="BJ4" s="94"/>
    </row>
    <row r="5" spans="2:62" x14ac:dyDescent="0.25">
      <c r="B5" s="92"/>
      <c r="C5" s="92"/>
      <c r="D5" s="92"/>
      <c r="E5" s="92"/>
      <c r="F5" s="45"/>
      <c r="G5" s="45"/>
      <c r="H5" s="92"/>
      <c r="I5" s="92"/>
      <c r="J5" s="92"/>
      <c r="K5" s="92"/>
      <c r="L5" s="45"/>
      <c r="M5" s="45"/>
      <c r="N5" s="92"/>
      <c r="O5" s="92"/>
      <c r="P5" s="92"/>
      <c r="Q5" s="92"/>
      <c r="R5" s="45"/>
      <c r="S5" s="45"/>
      <c r="T5" s="92"/>
      <c r="U5" s="92"/>
      <c r="V5" s="92"/>
      <c r="W5" s="92"/>
      <c r="X5" s="45"/>
      <c r="Y5" s="45"/>
      <c r="Z5" s="92"/>
      <c r="AA5" s="93"/>
      <c r="AB5" s="93"/>
      <c r="AC5" s="93"/>
      <c r="AD5" s="46"/>
      <c r="AE5" s="46"/>
      <c r="AF5" s="93"/>
      <c r="AG5" s="93"/>
      <c r="AH5" s="93"/>
      <c r="AI5" s="93"/>
      <c r="AJ5" s="46"/>
      <c r="AK5" s="46"/>
      <c r="AL5" s="93"/>
      <c r="AM5" s="93"/>
      <c r="AN5" s="93"/>
      <c r="AO5" s="93"/>
      <c r="AP5" s="46"/>
      <c r="AQ5" s="46"/>
      <c r="AR5" s="93"/>
      <c r="AS5" s="93"/>
      <c r="AT5" s="93"/>
      <c r="AU5" s="93"/>
      <c r="AV5" s="46"/>
      <c r="AW5" s="46"/>
      <c r="AX5" s="93"/>
      <c r="AY5" s="93"/>
      <c r="AZ5" s="93"/>
      <c r="BA5" s="93"/>
      <c r="BB5" s="46"/>
      <c r="BC5" s="46"/>
      <c r="BD5" s="93"/>
      <c r="BE5" s="93"/>
      <c r="BF5" s="93"/>
      <c r="BG5" s="93"/>
      <c r="BH5" s="46"/>
      <c r="BI5" s="47"/>
      <c r="BJ5" s="94"/>
    </row>
    <row r="6" spans="2:62" x14ac:dyDescent="0.25">
      <c r="B6" s="90" t="s">
        <v>116</v>
      </c>
      <c r="C6" s="152" t="s">
        <v>119</v>
      </c>
      <c r="D6" s="152"/>
      <c r="E6" s="152"/>
      <c r="F6" s="152"/>
      <c r="G6" s="152"/>
      <c r="H6" s="90" t="s">
        <v>116</v>
      </c>
      <c r="I6" s="152" t="s">
        <v>119</v>
      </c>
      <c r="J6" s="152"/>
      <c r="K6" s="152"/>
      <c r="L6" s="152"/>
      <c r="M6" s="152"/>
      <c r="N6" s="90" t="s">
        <v>116</v>
      </c>
      <c r="O6" s="152"/>
      <c r="P6" s="152"/>
      <c r="Q6" s="152"/>
      <c r="R6" s="152"/>
      <c r="S6" s="152"/>
      <c r="T6" s="90" t="s">
        <v>116</v>
      </c>
      <c r="U6" s="152"/>
      <c r="V6" s="152"/>
      <c r="W6" s="152"/>
      <c r="X6" s="152"/>
      <c r="Y6" s="152"/>
      <c r="Z6" s="90" t="s">
        <v>116</v>
      </c>
      <c r="AA6" s="144"/>
      <c r="AB6" s="144"/>
      <c r="AC6" s="144"/>
      <c r="AD6" s="144"/>
      <c r="AE6" s="144"/>
      <c r="AF6" s="90" t="s">
        <v>116</v>
      </c>
      <c r="AG6" s="144"/>
      <c r="AH6" s="144"/>
      <c r="AI6" s="144"/>
      <c r="AJ6" s="144"/>
      <c r="AK6" s="144"/>
      <c r="AL6" s="90" t="s">
        <v>116</v>
      </c>
      <c r="AM6" s="144"/>
      <c r="AN6" s="144"/>
      <c r="AO6" s="144"/>
      <c r="AP6" s="144"/>
      <c r="AQ6" s="144"/>
      <c r="AR6" s="90" t="s">
        <v>116</v>
      </c>
      <c r="AS6" s="144"/>
      <c r="AT6" s="144"/>
      <c r="AU6" s="144"/>
      <c r="AV6" s="144"/>
      <c r="AW6" s="144"/>
      <c r="AX6" s="90" t="s">
        <v>116</v>
      </c>
      <c r="AY6" s="144"/>
      <c r="AZ6" s="144"/>
      <c r="BA6" s="144"/>
      <c r="BB6" s="144"/>
      <c r="BC6" s="144"/>
      <c r="BD6" s="90" t="s">
        <v>116</v>
      </c>
      <c r="BE6" s="144"/>
      <c r="BF6" s="144"/>
      <c r="BG6" s="144"/>
      <c r="BH6" s="144"/>
      <c r="BI6" s="144"/>
      <c r="BJ6" s="88"/>
    </row>
    <row r="7" spans="2:62" x14ac:dyDescent="0.25">
      <c r="B7" s="95" t="s">
        <v>15</v>
      </c>
      <c r="C7" s="146" t="s">
        <v>261</v>
      </c>
      <c r="D7" s="146"/>
      <c r="E7" s="146"/>
      <c r="F7" s="146"/>
      <c r="G7" s="146"/>
      <c r="H7" s="95" t="s">
        <v>15</v>
      </c>
      <c r="I7" s="146" t="s">
        <v>282</v>
      </c>
      <c r="J7" s="146"/>
      <c r="K7" s="146"/>
      <c r="L7" s="146"/>
      <c r="M7" s="146"/>
      <c r="N7" s="95" t="s">
        <v>15</v>
      </c>
      <c r="O7" s="149"/>
      <c r="P7" s="149"/>
      <c r="Q7" s="149"/>
      <c r="R7" s="149"/>
      <c r="S7" s="149"/>
      <c r="T7" s="95" t="s">
        <v>15</v>
      </c>
      <c r="U7" s="149"/>
      <c r="V7" s="149"/>
      <c r="W7" s="149"/>
      <c r="X7" s="149"/>
      <c r="Y7" s="149"/>
      <c r="Z7" s="95" t="s">
        <v>15</v>
      </c>
      <c r="AA7" s="150"/>
      <c r="AB7" s="150"/>
      <c r="AC7" s="150"/>
      <c r="AD7" s="150"/>
      <c r="AE7" s="150"/>
      <c r="AF7" s="95" t="s">
        <v>15</v>
      </c>
      <c r="AG7" s="150"/>
      <c r="AH7" s="150"/>
      <c r="AI7" s="150"/>
      <c r="AJ7" s="150"/>
      <c r="AK7" s="150"/>
      <c r="AL7" s="95" t="s">
        <v>15</v>
      </c>
      <c r="AM7" s="150"/>
      <c r="AN7" s="150"/>
      <c r="AO7" s="150"/>
      <c r="AP7" s="150"/>
      <c r="AQ7" s="150"/>
      <c r="AR7" s="95" t="s">
        <v>15</v>
      </c>
      <c r="AS7" s="150"/>
      <c r="AT7" s="150"/>
      <c r="AU7" s="150"/>
      <c r="AV7" s="150"/>
      <c r="AW7" s="150"/>
      <c r="AX7" s="95" t="s">
        <v>15</v>
      </c>
      <c r="AY7" s="150"/>
      <c r="AZ7" s="150"/>
      <c r="BA7" s="150"/>
      <c r="BB7" s="150"/>
      <c r="BC7" s="150"/>
      <c r="BD7" s="95" t="s">
        <v>15</v>
      </c>
      <c r="BE7" s="153"/>
      <c r="BF7" s="154"/>
      <c r="BG7" s="154"/>
      <c r="BH7" s="154"/>
      <c r="BI7" s="155"/>
      <c r="BJ7" s="88"/>
    </row>
    <row r="8" spans="2:62" x14ac:dyDescent="0.25">
      <c r="B8" s="90" t="s">
        <v>156</v>
      </c>
      <c r="C8" s="152" t="s">
        <v>163</v>
      </c>
      <c r="D8" s="152"/>
      <c r="E8" s="152"/>
      <c r="F8" s="152"/>
      <c r="G8" s="152"/>
      <c r="H8" s="90" t="s">
        <v>156</v>
      </c>
      <c r="I8" s="152" t="s">
        <v>163</v>
      </c>
      <c r="J8" s="152"/>
      <c r="K8" s="152"/>
      <c r="L8" s="152"/>
      <c r="M8" s="152"/>
      <c r="N8" s="90" t="s">
        <v>156</v>
      </c>
      <c r="O8" s="152"/>
      <c r="P8" s="152"/>
      <c r="Q8" s="152"/>
      <c r="R8" s="152"/>
      <c r="S8" s="152"/>
      <c r="T8" s="90" t="s">
        <v>156</v>
      </c>
      <c r="U8" s="152"/>
      <c r="V8" s="152"/>
      <c r="W8" s="152"/>
      <c r="X8" s="152"/>
      <c r="Y8" s="152"/>
      <c r="Z8" s="90" t="s">
        <v>156</v>
      </c>
      <c r="AA8" s="152"/>
      <c r="AB8" s="152"/>
      <c r="AC8" s="152"/>
      <c r="AD8" s="152"/>
      <c r="AE8" s="152"/>
      <c r="AF8" s="90" t="s">
        <v>156</v>
      </c>
      <c r="AG8" s="152"/>
      <c r="AH8" s="152"/>
      <c r="AI8" s="152"/>
      <c r="AJ8" s="152"/>
      <c r="AK8" s="152"/>
      <c r="AL8" s="90" t="s">
        <v>156</v>
      </c>
      <c r="AM8" s="152" t="s">
        <v>163</v>
      </c>
      <c r="AN8" s="152"/>
      <c r="AO8" s="152"/>
      <c r="AP8" s="152"/>
      <c r="AQ8" s="152"/>
      <c r="AR8" s="90" t="s">
        <v>156</v>
      </c>
      <c r="AS8" s="152" t="s">
        <v>163</v>
      </c>
      <c r="AT8" s="152"/>
      <c r="AU8" s="152"/>
      <c r="AV8" s="152"/>
      <c r="AW8" s="152"/>
      <c r="AX8" s="90" t="s">
        <v>156</v>
      </c>
      <c r="AY8" s="152" t="s">
        <v>163</v>
      </c>
      <c r="AZ8" s="152"/>
      <c r="BA8" s="152"/>
      <c r="BB8" s="152"/>
      <c r="BC8" s="152"/>
      <c r="BD8" s="90" t="s">
        <v>156</v>
      </c>
      <c r="BE8" s="152" t="s">
        <v>163</v>
      </c>
      <c r="BF8" s="152"/>
      <c r="BG8" s="152"/>
      <c r="BH8" s="152"/>
      <c r="BI8" s="152"/>
      <c r="BJ8" s="88"/>
    </row>
    <row r="9" spans="2:62" s="97" customFormat="1" x14ac:dyDescent="0.25">
      <c r="B9" s="90" t="s">
        <v>16</v>
      </c>
      <c r="C9" s="147">
        <v>806</v>
      </c>
      <c r="D9" s="147"/>
      <c r="E9" s="147"/>
      <c r="F9" s="147"/>
      <c r="G9" s="147"/>
      <c r="H9" s="90" t="s">
        <v>16</v>
      </c>
      <c r="I9" s="148">
        <v>208</v>
      </c>
      <c r="J9" s="148"/>
      <c r="K9" s="148"/>
      <c r="L9" s="148"/>
      <c r="M9" s="148"/>
      <c r="N9" s="90" t="s">
        <v>16</v>
      </c>
      <c r="O9" s="148"/>
      <c r="P9" s="148"/>
      <c r="Q9" s="148"/>
      <c r="R9" s="148"/>
      <c r="S9" s="148"/>
      <c r="T9" s="90" t="s">
        <v>16</v>
      </c>
      <c r="U9" s="148"/>
      <c r="V9" s="148"/>
      <c r="W9" s="148"/>
      <c r="X9" s="148"/>
      <c r="Y9" s="148"/>
      <c r="Z9" s="90" t="s">
        <v>16</v>
      </c>
      <c r="AA9" s="148"/>
      <c r="AB9" s="148"/>
      <c r="AC9" s="148"/>
      <c r="AD9" s="148"/>
      <c r="AE9" s="148"/>
      <c r="AF9" s="90" t="s">
        <v>16</v>
      </c>
      <c r="AG9" s="148"/>
      <c r="AH9" s="148"/>
      <c r="AI9" s="148"/>
      <c r="AJ9" s="148"/>
      <c r="AK9" s="148"/>
      <c r="AL9" s="90" t="s">
        <v>16</v>
      </c>
      <c r="AM9" s="148"/>
      <c r="AN9" s="148"/>
      <c r="AO9" s="148"/>
      <c r="AP9" s="148"/>
      <c r="AQ9" s="148"/>
      <c r="AR9" s="90" t="s">
        <v>16</v>
      </c>
      <c r="AS9" s="148"/>
      <c r="AT9" s="148"/>
      <c r="AU9" s="148"/>
      <c r="AV9" s="148"/>
      <c r="AW9" s="148"/>
      <c r="AX9" s="90" t="s">
        <v>16</v>
      </c>
      <c r="AY9" s="148"/>
      <c r="AZ9" s="148"/>
      <c r="BA9" s="148"/>
      <c r="BB9" s="148"/>
      <c r="BC9" s="148"/>
      <c r="BD9" s="90" t="s">
        <v>16</v>
      </c>
      <c r="BE9" s="148"/>
      <c r="BF9" s="148"/>
      <c r="BG9" s="148"/>
      <c r="BH9" s="148"/>
      <c r="BI9" s="148"/>
      <c r="BJ9" s="96"/>
    </row>
    <row r="10" spans="2:62" s="97" customFormat="1" x14ac:dyDescent="0.25">
      <c r="B10" s="90" t="str">
        <f>IF(C6&lt;&gt;"SW Agile","Productivity (CP/PH)","Productivity (SP/PH)")</f>
        <v>Productivity (SP/PH)</v>
      </c>
      <c r="C10" s="148">
        <v>0.14000000000000001</v>
      </c>
      <c r="D10" s="148"/>
      <c r="E10" s="148"/>
      <c r="F10" s="148"/>
      <c r="G10" s="148"/>
      <c r="H10" s="90" t="str">
        <f>IF(I6&lt;&gt;"SW Agile","Productivity (CP/PH)","Productivity (SP/PH)")</f>
        <v>Productivity (SP/PH)</v>
      </c>
      <c r="I10" s="148">
        <v>0.14000000000000001</v>
      </c>
      <c r="J10" s="148"/>
      <c r="K10" s="148"/>
      <c r="L10" s="148"/>
      <c r="M10" s="148"/>
      <c r="N10" s="90" t="str">
        <f>IF(O6&lt;&gt;"SW Agile","Productivity (CP/PH)","Productivity (SP/PH)")</f>
        <v>Productivity (CP/PH)</v>
      </c>
      <c r="O10" s="148"/>
      <c r="P10" s="148"/>
      <c r="Q10" s="148"/>
      <c r="R10" s="148"/>
      <c r="S10" s="148"/>
      <c r="T10" s="90" t="str">
        <f>IF(U6&lt;&gt;"SW Agile","Productivity (CP/PH)","Productivity (SP/PH)")</f>
        <v>Productivity (CP/PH)</v>
      </c>
      <c r="U10" s="148"/>
      <c r="V10" s="148"/>
      <c r="W10" s="148"/>
      <c r="X10" s="148"/>
      <c r="Y10" s="148"/>
      <c r="Z10" s="90" t="str">
        <f>IF(AA6&lt;&gt;"SW Agile","Productivity (CP/PH)","Productivity (SP/PH)")</f>
        <v>Productivity (CP/PH)</v>
      </c>
      <c r="AA10" s="148"/>
      <c r="AB10" s="148"/>
      <c r="AC10" s="148"/>
      <c r="AD10" s="148"/>
      <c r="AE10" s="148"/>
      <c r="AF10" s="90" t="str">
        <f>IF(AG6&lt;&gt;"SW Agile","Productivity (CP/PH)","Productivity (SP/PH)")</f>
        <v>Productivity (CP/PH)</v>
      </c>
      <c r="AG10" s="148"/>
      <c r="AH10" s="148"/>
      <c r="AI10" s="148"/>
      <c r="AJ10" s="148"/>
      <c r="AK10" s="148"/>
      <c r="AL10" s="90" t="str">
        <f>IF(AM6&lt;&gt;"SW Agile","Productivity (CP/PH)","Productivity (SP/PH)")</f>
        <v>Productivity (CP/PH)</v>
      </c>
      <c r="AM10" s="148"/>
      <c r="AN10" s="148"/>
      <c r="AO10" s="148"/>
      <c r="AP10" s="148"/>
      <c r="AQ10" s="148"/>
      <c r="AR10" s="90" t="str">
        <f>IF(AS6&lt;&gt;"SW Agile","Productivity (CP/PH)","Productivity (SP/PH)")</f>
        <v>Productivity (CP/PH)</v>
      </c>
      <c r="AS10" s="148"/>
      <c r="AT10" s="148"/>
      <c r="AU10" s="148"/>
      <c r="AV10" s="148"/>
      <c r="AW10" s="148"/>
      <c r="AX10" s="90" t="str">
        <f>IF(AY6&lt;&gt;"SW Agile","Productivity (CP/PH)","Productivity (SP/PH)")</f>
        <v>Productivity (CP/PH)</v>
      </c>
      <c r="AY10" s="148"/>
      <c r="AZ10" s="148"/>
      <c r="BA10" s="148"/>
      <c r="BB10" s="148"/>
      <c r="BC10" s="148"/>
      <c r="BD10" s="90" t="str">
        <f>IF(BE6&lt;&gt;"SW Agile","Productivity (CP/PH)","Productivity (SP/PH)")</f>
        <v>Productivity (CP/PH)</v>
      </c>
      <c r="BE10" s="148"/>
      <c r="BF10" s="148"/>
      <c r="BG10" s="148"/>
      <c r="BH10" s="148"/>
      <c r="BI10" s="148"/>
      <c r="BJ10" s="96"/>
    </row>
    <row r="11" spans="2:62" ht="15.75" customHeight="1" x14ac:dyDescent="0.25">
      <c r="B11" s="145" t="s">
        <v>157</v>
      </c>
      <c r="C11" s="48">
        <f>SUM(C15:C5000)</f>
        <v>1.0000000000000002</v>
      </c>
      <c r="D11" s="98"/>
      <c r="E11" s="98"/>
      <c r="F11" s="49"/>
      <c r="G11" s="50">
        <f>SUM(G15:G5000)</f>
        <v>5757.1428571428569</v>
      </c>
      <c r="H11" s="145" t="s">
        <v>157</v>
      </c>
      <c r="I11" s="48">
        <f>SUM(I15:I5000)</f>
        <v>1.0000000000000002</v>
      </c>
      <c r="J11" s="98"/>
      <c r="K11" s="98"/>
      <c r="L11" s="49"/>
      <c r="M11" s="50">
        <f>SUM(M15:M5000)</f>
        <v>1485.7142857142853</v>
      </c>
      <c r="N11" s="145" t="s">
        <v>157</v>
      </c>
      <c r="O11" s="48">
        <f>SUM(O15:O5000)</f>
        <v>1</v>
      </c>
      <c r="P11" s="98"/>
      <c r="Q11" s="98"/>
      <c r="R11" s="49"/>
      <c r="S11" s="50">
        <f>SUM(S15:S5000)</f>
        <v>0</v>
      </c>
      <c r="T11" s="145" t="s">
        <v>157</v>
      </c>
      <c r="U11" s="48">
        <f>SUM(U15:U5000)</f>
        <v>1</v>
      </c>
      <c r="V11" s="98"/>
      <c r="W11" s="98"/>
      <c r="X11" s="49"/>
      <c r="Y11" s="50">
        <f>SUM(Y15:Y5000)</f>
        <v>0</v>
      </c>
      <c r="Z11" s="145" t="s">
        <v>157</v>
      </c>
      <c r="AA11" s="48">
        <f>SUM(AA15:AA5000)</f>
        <v>0.15000000000000002</v>
      </c>
      <c r="AB11" s="98"/>
      <c r="AC11" s="98"/>
      <c r="AD11" s="49"/>
      <c r="AE11" s="50">
        <f>SUM(AE15:AE5000)</f>
        <v>1964.2857142857147</v>
      </c>
      <c r="AF11" s="145" t="s">
        <v>157</v>
      </c>
      <c r="AG11" s="48">
        <f>SUM(AG15:AG5000)</f>
        <v>0</v>
      </c>
      <c r="AH11" s="98"/>
      <c r="AI11" s="98"/>
      <c r="AJ11" s="49"/>
      <c r="AK11" s="50">
        <f>SUM(AK15:AK5000)</f>
        <v>0</v>
      </c>
      <c r="AL11" s="145" t="s">
        <v>157</v>
      </c>
      <c r="AM11" s="48">
        <f>SUM(AM15:AM5000)</f>
        <v>0</v>
      </c>
      <c r="AN11" s="98"/>
      <c r="AO11" s="98"/>
      <c r="AP11" s="49"/>
      <c r="AQ11" s="50">
        <f>SUM(AQ15:AQ5000)</f>
        <v>0</v>
      </c>
      <c r="AR11" s="145" t="s">
        <v>157</v>
      </c>
      <c r="AS11" s="48">
        <f>SUM(AS15:AS5000)</f>
        <v>0</v>
      </c>
      <c r="AT11" s="98"/>
      <c r="AU11" s="98"/>
      <c r="AV11" s="49"/>
      <c r="AW11" s="50">
        <f>SUM(AW15:AW5000)</f>
        <v>0</v>
      </c>
      <c r="AX11" s="145" t="s">
        <v>157</v>
      </c>
      <c r="AY11" s="48">
        <f>SUM(AY15:AY5000)</f>
        <v>0</v>
      </c>
      <c r="AZ11" s="98"/>
      <c r="BA11" s="98"/>
      <c r="BB11" s="49"/>
      <c r="BC11" s="50">
        <f>SUM(BC15:BC5000)</f>
        <v>0</v>
      </c>
      <c r="BD11" s="145" t="s">
        <v>157</v>
      </c>
      <c r="BE11" s="48">
        <f>SUM(BE15:BE5000)</f>
        <v>0</v>
      </c>
      <c r="BF11" s="98"/>
      <c r="BG11" s="98"/>
      <c r="BH11" s="49"/>
      <c r="BI11" s="50">
        <f>SUM(BI15:BI5000)</f>
        <v>0</v>
      </c>
    </row>
    <row r="12" spans="2:62" ht="47.25" customHeight="1" x14ac:dyDescent="0.25">
      <c r="B12" s="145"/>
      <c r="C12" s="99" t="s">
        <v>46</v>
      </c>
      <c r="D12" s="99" t="str">
        <f>IF(C6&lt;&gt;"SW Agile","No. of units (CP)","No. of units (SP)")</f>
        <v>No. of units (SP)</v>
      </c>
      <c r="E12" s="99" t="str">
        <f>IF(C6&lt;&gt;"SW Agile","Productivity (CP/PH)","Productivity (SP/PH)")</f>
        <v>Productivity (SP/PH)</v>
      </c>
      <c r="F12" s="55" t="s">
        <v>44</v>
      </c>
      <c r="G12" s="55" t="s">
        <v>45</v>
      </c>
      <c r="H12" s="145"/>
      <c r="I12" s="99" t="s">
        <v>46</v>
      </c>
      <c r="J12" s="99" t="str">
        <f>IF(I6&lt;&gt;"SW Agile","No. of units (CP)","No. of units (SP)")</f>
        <v>No. of units (SP)</v>
      </c>
      <c r="K12" s="99" t="str">
        <f>IF(I6&lt;&gt;"SW Agile","Productivity (CP/PH)","Productivity (SP/PH)")</f>
        <v>Productivity (SP/PH)</v>
      </c>
      <c r="L12" s="55" t="s">
        <v>44</v>
      </c>
      <c r="M12" s="55" t="s">
        <v>45</v>
      </c>
      <c r="N12" s="145"/>
      <c r="O12" s="99" t="s">
        <v>46</v>
      </c>
      <c r="P12" s="99" t="str">
        <f>IF(O6&lt;&gt;"SW Agile","No. of units (CP)","No. of units (SP)")</f>
        <v>No. of units (CP)</v>
      </c>
      <c r="Q12" s="99" t="str">
        <f>IF(O6&lt;&gt;"SW Agile","Productivity (CP/PH)","Productivity (SP/PH)")</f>
        <v>Productivity (CP/PH)</v>
      </c>
      <c r="R12" s="55" t="s">
        <v>44</v>
      </c>
      <c r="S12" s="55" t="s">
        <v>45</v>
      </c>
      <c r="T12" s="145"/>
      <c r="U12" s="99" t="s">
        <v>46</v>
      </c>
      <c r="V12" s="99" t="str">
        <f>IF(U6&lt;&gt;"SW Agile","No. of units (CP)","No. of units (SP)")</f>
        <v>No. of units (CP)</v>
      </c>
      <c r="W12" s="99" t="str">
        <f>IF(U6&lt;&gt;"SW Agile","Productivity (CP/PH)","Productivity (SP/PH)")</f>
        <v>Productivity (CP/PH)</v>
      </c>
      <c r="X12" s="55" t="s">
        <v>44</v>
      </c>
      <c r="Y12" s="55" t="s">
        <v>45</v>
      </c>
      <c r="Z12" s="145"/>
      <c r="AA12" s="99" t="s">
        <v>46</v>
      </c>
      <c r="AB12" s="99" t="str">
        <f>IF(AA6&lt;&gt;"SW Agile","No. of units (CP)","No. of units (SP)")</f>
        <v>No. of units (CP)</v>
      </c>
      <c r="AC12" s="99" t="str">
        <f>IF(AA6&lt;&gt;"SW Agile","Productivity (CP/PH)","Productivity (SP/PH)")</f>
        <v>Productivity (CP/PH)</v>
      </c>
      <c r="AD12" s="55" t="s">
        <v>44</v>
      </c>
      <c r="AE12" s="55" t="s">
        <v>45</v>
      </c>
      <c r="AF12" s="145"/>
      <c r="AG12" s="99" t="s">
        <v>46</v>
      </c>
      <c r="AH12" s="99" t="str">
        <f>IF(AG6&lt;&gt;"SW Agile","No. of units (CP)","No. of units (SP)")</f>
        <v>No. of units (CP)</v>
      </c>
      <c r="AI12" s="99" t="str">
        <f>IF(AG6&lt;&gt;"SW Agile","Productivity (CP/PH)","Productivity (SP/PH)")</f>
        <v>Productivity (CP/PH)</v>
      </c>
      <c r="AJ12" s="55" t="s">
        <v>44</v>
      </c>
      <c r="AK12" s="55" t="s">
        <v>45</v>
      </c>
      <c r="AL12" s="145"/>
      <c r="AM12" s="99" t="s">
        <v>46</v>
      </c>
      <c r="AN12" s="99" t="str">
        <f>IF(AM6&lt;&gt;"SW Agile","No. of units (CP)","No. of units (SP)")</f>
        <v>No. of units (CP)</v>
      </c>
      <c r="AO12" s="99" t="str">
        <f>IF(AM6&lt;&gt;"SW Agile","Productivity (CP/PH)","Productivity (SP/PH)")</f>
        <v>Productivity (CP/PH)</v>
      </c>
      <c r="AP12" s="55" t="s">
        <v>44</v>
      </c>
      <c r="AQ12" s="55" t="s">
        <v>45</v>
      </c>
      <c r="AR12" s="145"/>
      <c r="AS12" s="99" t="s">
        <v>46</v>
      </c>
      <c r="AT12" s="99" t="str">
        <f>IF(AS6&lt;&gt;"SW Agile","No. of units (CP)","No. of units (SP)")</f>
        <v>No. of units (CP)</v>
      </c>
      <c r="AU12" s="99" t="str">
        <f>IF(AS6&lt;&gt;"SW Agile","Productivity (CP/PH)","Productivity (SP/PH)")</f>
        <v>Productivity (CP/PH)</v>
      </c>
      <c r="AV12" s="55" t="s">
        <v>44</v>
      </c>
      <c r="AW12" s="55" t="s">
        <v>45</v>
      </c>
      <c r="AX12" s="145"/>
      <c r="AY12" s="99" t="s">
        <v>46</v>
      </c>
      <c r="AZ12" s="99" t="str">
        <f>IF(AY6&lt;&gt;"SW Agile","No. of units (CP)","No. of units (SP)")</f>
        <v>No. of units (CP)</v>
      </c>
      <c r="BA12" s="99" t="str">
        <f>IF(AY6&lt;&gt;"SW Agile","Productivity (CP/PH)","Productivity (SP/PH)")</f>
        <v>Productivity (CP/PH)</v>
      </c>
      <c r="BB12" s="55" t="s">
        <v>44</v>
      </c>
      <c r="BC12" s="55" t="s">
        <v>45</v>
      </c>
      <c r="BD12" s="145"/>
      <c r="BE12" s="99" t="s">
        <v>46</v>
      </c>
      <c r="BF12" s="99" t="str">
        <f>IF(BE6&lt;&gt;"SW Agile","No. of units (CP)","No. of units (SP)")</f>
        <v>No. of units (CP)</v>
      </c>
      <c r="BG12" s="99" t="str">
        <f>IF(BE6&lt;&gt;"SW Agile","Productivity (CP/PH)","Productivity (SP/PH)")</f>
        <v>Productivity (CP/PH)</v>
      </c>
      <c r="BH12" s="55" t="s">
        <v>44</v>
      </c>
      <c r="BI12" s="55" t="s">
        <v>45</v>
      </c>
    </row>
    <row r="13" spans="2:62" x14ac:dyDescent="0.25">
      <c r="B13" s="90" t="str">
        <f>IF(C6&lt;&gt;"SW Agile","Project Management","Sprint Management")</f>
        <v>Sprint Management</v>
      </c>
      <c r="C13" s="98"/>
      <c r="D13" s="98"/>
      <c r="E13" s="98"/>
      <c r="F13" s="49"/>
      <c r="G13" s="49"/>
      <c r="H13" s="90" t="str">
        <f>IF(I6&lt;&gt;"SW Agile","Project Management","Sprint Management")</f>
        <v>Sprint Management</v>
      </c>
      <c r="I13" s="98"/>
      <c r="J13" s="98"/>
      <c r="K13" s="98"/>
      <c r="L13" s="49"/>
      <c r="M13" s="49"/>
      <c r="N13" s="90" t="str">
        <f>IF(O6&lt;&gt;"SW Agile","Project Management","Sprint Management")</f>
        <v>Project Management</v>
      </c>
      <c r="O13" s="98"/>
      <c r="P13" s="98"/>
      <c r="Q13" s="98"/>
      <c r="R13" s="49"/>
      <c r="S13" s="49"/>
      <c r="T13" s="90" t="str">
        <f>IF(U6&lt;&gt;"SW Agile","Project Management","Sprint Management")</f>
        <v>Project Management</v>
      </c>
      <c r="U13" s="98"/>
      <c r="V13" s="98"/>
      <c r="W13" s="98"/>
      <c r="X13" s="49"/>
      <c r="Y13" s="49"/>
      <c r="Z13" s="90" t="str">
        <f>IF(AA6&lt;&gt;"SW Agile","Project Management","Sprint Management")</f>
        <v>Project Management</v>
      </c>
      <c r="AA13" s="98"/>
      <c r="AB13" s="98"/>
      <c r="AC13" s="98"/>
      <c r="AD13" s="49"/>
      <c r="AE13" s="49"/>
      <c r="AF13" s="90" t="str">
        <f>IF(AG6&lt;&gt;"SW Agile","Project Management","Sprint Management")</f>
        <v>Project Management</v>
      </c>
      <c r="AG13" s="98"/>
      <c r="AH13" s="98"/>
      <c r="AI13" s="98"/>
      <c r="AJ13" s="49"/>
      <c r="AK13" s="49"/>
      <c r="AL13" s="90" t="str">
        <f>IF(AM6&lt;&gt;"SW Agile","Project Management","Sprint Management")</f>
        <v>Project Management</v>
      </c>
      <c r="AM13" s="98"/>
      <c r="AN13" s="98"/>
      <c r="AO13" s="98"/>
      <c r="AP13" s="49"/>
      <c r="AQ13" s="49"/>
      <c r="AR13" s="90" t="str">
        <f>IF(AS6&lt;&gt;"SW Agile","Project Management","Sprint Management")</f>
        <v>Project Management</v>
      </c>
      <c r="AS13" s="98"/>
      <c r="AT13" s="98"/>
      <c r="AU13" s="98"/>
      <c r="AV13" s="49"/>
      <c r="AW13" s="49"/>
      <c r="AX13" s="90" t="str">
        <f>IF(AY6&lt;&gt;"SW Agile","Project Management","Sprint Management")</f>
        <v>Project Management</v>
      </c>
      <c r="AY13" s="98"/>
      <c r="AZ13" s="98"/>
      <c r="BA13" s="98"/>
      <c r="BB13" s="49"/>
      <c r="BC13" s="49"/>
      <c r="BD13" s="90" t="str">
        <f>IF(BE6&lt;&gt;"SW Agile","Project Management","Sprint Management")</f>
        <v>Project Management</v>
      </c>
      <c r="BE13" s="98"/>
      <c r="BF13" s="98"/>
      <c r="BG13" s="98"/>
      <c r="BH13" s="49"/>
      <c r="BI13" s="49"/>
    </row>
    <row r="14" spans="2:62" x14ac:dyDescent="0.25">
      <c r="B14" s="90" t="str">
        <f>IF(C6&lt;&gt;"SW Agile","Project Support","Sprint Support")</f>
        <v>Sprint Support</v>
      </c>
      <c r="C14" s="98"/>
      <c r="D14" s="98"/>
      <c r="E14" s="98"/>
      <c r="F14" s="49"/>
      <c r="G14" s="49"/>
      <c r="H14" s="90" t="str">
        <f>IF(I6&lt;&gt;"SW Agile","Project Support","Sprint Support")</f>
        <v>Sprint Support</v>
      </c>
      <c r="I14" s="98"/>
      <c r="J14" s="98"/>
      <c r="K14" s="98"/>
      <c r="L14" s="49"/>
      <c r="M14" s="49"/>
      <c r="N14" s="90" t="str">
        <f>IF(O6&lt;&gt;"SW Agile","Project Support","Sprint Support")</f>
        <v>Project Support</v>
      </c>
      <c r="O14" s="98"/>
      <c r="P14" s="98"/>
      <c r="Q14" s="98"/>
      <c r="R14" s="49"/>
      <c r="S14" s="49"/>
      <c r="T14" s="90" t="str">
        <f>IF(U6&lt;&gt;"SW Agile","Project Support","Sprint Support")</f>
        <v>Project Support</v>
      </c>
      <c r="U14" s="98"/>
      <c r="V14" s="98"/>
      <c r="W14" s="98"/>
      <c r="X14" s="49"/>
      <c r="Y14" s="49"/>
      <c r="Z14" s="90" t="str">
        <f>IF(AA6&lt;&gt;"SW Agile","Project Support","Sprint Support")</f>
        <v>Project Support</v>
      </c>
      <c r="AA14" s="98"/>
      <c r="AB14" s="98"/>
      <c r="AC14" s="98"/>
      <c r="AD14" s="49"/>
      <c r="AE14" s="49"/>
      <c r="AF14" s="90" t="str">
        <f>IF(AG6&lt;&gt;"SW Agile","Project Support","Sprint Support")</f>
        <v>Project Support</v>
      </c>
      <c r="AG14" s="98"/>
      <c r="AH14" s="98"/>
      <c r="AI14" s="98"/>
      <c r="AJ14" s="49"/>
      <c r="AK14" s="49"/>
      <c r="AL14" s="90" t="str">
        <f>IF(AM6&lt;&gt;"SW Agile","Project Support","Sprint Support")</f>
        <v>Project Support</v>
      </c>
      <c r="AM14" s="98"/>
      <c r="AN14" s="98"/>
      <c r="AO14" s="98"/>
      <c r="AP14" s="49"/>
      <c r="AQ14" s="49"/>
      <c r="AR14" s="90" t="str">
        <f>IF(AS6&lt;&gt;"SW Agile","Project Support","Sprint Support")</f>
        <v>Project Support</v>
      </c>
      <c r="AS14" s="98"/>
      <c r="AT14" s="98"/>
      <c r="AU14" s="98"/>
      <c r="AV14" s="49"/>
      <c r="AW14" s="49"/>
      <c r="AX14" s="90" t="str">
        <f>IF(AY6&lt;&gt;"SW Agile","Project Support","Sprint Support")</f>
        <v>Project Support</v>
      </c>
      <c r="AY14" s="98"/>
      <c r="AZ14" s="98"/>
      <c r="BA14" s="98"/>
      <c r="BB14" s="49"/>
      <c r="BC14" s="49"/>
      <c r="BD14" s="90" t="str">
        <f>IF(BE6&lt;&gt;"SW Agile","Project Support","Sprint Support")</f>
        <v>Project Support</v>
      </c>
      <c r="BE14" s="98"/>
      <c r="BF14" s="98"/>
      <c r="BG14" s="98"/>
      <c r="BH14" s="49"/>
      <c r="BI14" s="49"/>
    </row>
    <row r="15" spans="2:62" x14ac:dyDescent="0.25">
      <c r="B15" s="100" t="s">
        <v>138</v>
      </c>
      <c r="C15" s="101">
        <v>0.4</v>
      </c>
      <c r="D15" s="102"/>
      <c r="E15" s="102"/>
      <c r="F15" s="50">
        <f>IF($C$8="Phase based",IF(C15="","",$C$9*C15),IF(D15="","",D15))</f>
        <v>322.40000000000003</v>
      </c>
      <c r="G15" s="50">
        <f>IF(C$8="Phase based",IF(C15="","",(C$9/C$10)*C15),IF(D15="","",(D15/E15)))</f>
        <v>2302.8571428571427</v>
      </c>
      <c r="H15" s="100" t="s">
        <v>138</v>
      </c>
      <c r="I15" s="101">
        <v>0.4</v>
      </c>
      <c r="J15" s="104"/>
      <c r="K15" s="104"/>
      <c r="L15" s="50">
        <f>IF($I$8="Phase based",IF(I15="","",$I$9*I15),IF(J15="","",J15))</f>
        <v>83.2</v>
      </c>
      <c r="M15" s="50">
        <f>IF($I$8="Phase based",IF(I15="","",($I$9/$I$10)*I15),IF(J15="","",(J15/K15)))</f>
        <v>594.28571428571422</v>
      </c>
      <c r="N15" s="100" t="s">
        <v>138</v>
      </c>
      <c r="O15" s="101">
        <v>0.5</v>
      </c>
      <c r="P15" s="104"/>
      <c r="Q15" s="104"/>
      <c r="R15" s="50" t="str">
        <f>IF($O$8="Phase based",IF(O15="","",$O$9*O15),IF(P15="","",P15))</f>
        <v/>
      </c>
      <c r="S15" s="50" t="str">
        <f>IF(O$8="Phase based",IF(O15="","",(O$9/O$10)*O15),IF(P15="","",(P15/Q15)))</f>
        <v/>
      </c>
      <c r="T15" s="100" t="s">
        <v>138</v>
      </c>
      <c r="U15" s="101">
        <v>0.5</v>
      </c>
      <c r="V15" s="104"/>
      <c r="W15" s="104"/>
      <c r="X15" s="50" t="str">
        <f>IF($U$8="Phase based",IF(U15="","",$U$9*U15),IF(V15="","",V15))</f>
        <v/>
      </c>
      <c r="Y15" s="50" t="str">
        <f>IF(U$8="Phase based",IF(U15="","",(U$9/U$10)*U15),IF(V15="","",(V15/W15)))</f>
        <v/>
      </c>
      <c r="Z15" s="100" t="s">
        <v>207</v>
      </c>
      <c r="AA15" s="103"/>
      <c r="AB15" s="104">
        <v>13</v>
      </c>
      <c r="AC15" s="104">
        <v>0.14000000000000001</v>
      </c>
      <c r="AD15" s="50">
        <f>IF($AA$8="Phase based",IF(AA15="","",$AA$9*AA15),IF(AB15="","",AB15))</f>
        <v>13</v>
      </c>
      <c r="AE15" s="50">
        <f>IF(AA$8="Phase based",IF(AA15="","",(AA$9/AA$10)*AA15),IF(AB15="","",(AB15/AC15)))</f>
        <v>92.857142857142847</v>
      </c>
      <c r="AF15" s="100"/>
      <c r="AG15" s="103"/>
      <c r="AH15" s="104"/>
      <c r="AI15" s="104"/>
      <c r="AJ15" s="50" t="str">
        <f>IF($AG$8="Phase based",IF(AG15="","",$AG$9*AG15),IF(AH15="","",AH15))</f>
        <v/>
      </c>
      <c r="AK15" s="50" t="str">
        <f>IF(AG$8="Phase based",IF(AG15="","",(AG$9/AG$10)*AG15),IF(AH15="","",(AH15/AI15)))</f>
        <v/>
      </c>
      <c r="AL15" s="100"/>
      <c r="AM15" s="103"/>
      <c r="AN15" s="104"/>
      <c r="AO15" s="104"/>
      <c r="AP15" s="50" t="str">
        <f>IF($AM$8="Phase based",IF(AM15="","",$AM$9*AM15),IF(AN15="","",AN15))</f>
        <v/>
      </c>
      <c r="AQ15" s="50" t="str">
        <f>IF(AM$8="Phase based",IF(AM15="","",(AM$9/AM$10)*AM15),IF(AN15="","",(AN15/AO15)))</f>
        <v/>
      </c>
      <c r="AR15" s="100"/>
      <c r="AS15" s="103"/>
      <c r="AT15" s="104"/>
      <c r="AU15" s="104"/>
      <c r="AV15" s="50" t="str">
        <f>IF($AS$8="Phase based",IF(AS15="","",$AS$9*AS15),IF(AT15="","",AT15))</f>
        <v/>
      </c>
      <c r="AW15" s="50" t="str">
        <f>IF(AS$8="Phase based",IF(AS15="","",(AS$9/AS$10)*AS15),IF(AT15="","",(AT15/AU15)))</f>
        <v/>
      </c>
      <c r="AX15" s="100"/>
      <c r="AY15" s="103"/>
      <c r="AZ15" s="104"/>
      <c r="BA15" s="104"/>
      <c r="BB15" s="50" t="str">
        <f>IF($AY$8="Phase based",IF(AY15="","",$AY$9*AY15),IF(AZ15="","",AZ15))</f>
        <v/>
      </c>
      <c r="BC15" s="50" t="str">
        <f>IF(AY$8="Phase based",IF(AY15="","",(AY$9/AY$10)*AY15),IF(AZ15="","",(AZ15/BA15)))</f>
        <v/>
      </c>
      <c r="BD15" s="100"/>
      <c r="BE15" s="103"/>
      <c r="BF15" s="104"/>
      <c r="BG15" s="104"/>
      <c r="BH15" s="50" t="str">
        <f>IF($BE$8="Phase based",IF(BE15="","",$BE$9*BE15),IF(BF15="","",BF15))</f>
        <v/>
      </c>
      <c r="BI15" s="50" t="str">
        <f>IF(BE$8="Phase based",IF(BE15="","",(BE$9/BE$10)*BE15),IF(BF15="","",(BF15/BG15)))</f>
        <v/>
      </c>
    </row>
    <row r="16" spans="2:62" x14ac:dyDescent="0.25">
      <c r="B16" s="100" t="s">
        <v>51</v>
      </c>
      <c r="C16" s="101">
        <v>0.05</v>
      </c>
      <c r="D16" s="102"/>
      <c r="E16" s="102"/>
      <c r="F16" s="50">
        <f t="shared" ref="F16:F51" si="0">IF($C$8="Phase based",IF(C16="","",$C$9*C16),IF(D16="","",D16))</f>
        <v>40.300000000000004</v>
      </c>
      <c r="G16" s="50">
        <f t="shared" ref="G16:G49" si="1">IF(C$8="Phase based",IF(C16="","",(C$9/C$10)*C16),IF(D16="","",(D16/E16)))</f>
        <v>287.85714285714283</v>
      </c>
      <c r="H16" s="100" t="s">
        <v>51</v>
      </c>
      <c r="I16" s="101">
        <v>0.04</v>
      </c>
      <c r="J16" s="104"/>
      <c r="K16" s="104"/>
      <c r="L16" s="50">
        <f t="shared" ref="L16:L50" si="2">IF($I$8="Phase based",IF(I16="","",$I$9*I16),IF(J16="","",J16))</f>
        <v>8.32</v>
      </c>
      <c r="M16" s="50">
        <f t="shared" ref="M16:M50" si="3">IF($I$8="Phase based",IF(I16="","",($I$9/$I$10)*I16),IF(J16="","",(J16/K16)))</f>
        <v>59.428571428571423</v>
      </c>
      <c r="N16" s="100" t="s">
        <v>51</v>
      </c>
      <c r="O16" s="101">
        <v>0.08</v>
      </c>
      <c r="P16" s="104"/>
      <c r="Q16" s="104"/>
      <c r="R16" s="50" t="str">
        <f t="shared" ref="R16:R50" si="4">IF($O$8="Phase based",IF(O16="","",$O$9*O16),IF(P16="","",P16))</f>
        <v/>
      </c>
      <c r="S16" s="50" t="str">
        <f t="shared" ref="S16:S50" si="5">IF(O$8="Phase based",IF(O16="","",(O$9/O$10)*O16),IF(P16="","",(P16/Q16)))</f>
        <v/>
      </c>
      <c r="T16" s="100" t="s">
        <v>51</v>
      </c>
      <c r="U16" s="101">
        <v>0.08</v>
      </c>
      <c r="V16" s="104"/>
      <c r="W16" s="104"/>
      <c r="X16" s="50" t="str">
        <f t="shared" ref="X16:X50" si="6">IF($U$8="Phase based",IF(U16="","",$U$9*U16),IF(V16="","",V16))</f>
        <v/>
      </c>
      <c r="Y16" s="50" t="str">
        <f t="shared" ref="Y16:Y50" si="7">IF(U$8="Phase based",IF(U16="","",(U$9/U$10)*U16),IF(V16="","",(V16/W16)))</f>
        <v/>
      </c>
      <c r="Z16" s="100" t="s">
        <v>208</v>
      </c>
      <c r="AA16" s="103"/>
      <c r="AB16" s="104">
        <v>12</v>
      </c>
      <c r="AC16" s="104">
        <v>0.14000000000000001</v>
      </c>
      <c r="AD16" s="50">
        <f t="shared" ref="AD16:AD50" si="8">IF($AA$8="Phase based",IF(AA16="","",$AA$9*AA16),IF(AB16="","",AB16))</f>
        <v>12</v>
      </c>
      <c r="AE16" s="50">
        <f t="shared" ref="AE16:AE50" si="9">IF(AA$8="Phase based",IF(AA16="","",(AA$9/AA$10)*AA16),IF(AB16="","",(AB16/AC16)))</f>
        <v>85.714285714285708</v>
      </c>
      <c r="AF16" s="100"/>
      <c r="AG16" s="103"/>
      <c r="AH16" s="104"/>
      <c r="AI16" s="104"/>
      <c r="AJ16" s="50" t="str">
        <f t="shared" ref="AJ16:AJ50" si="10">IF($AG$8="Phase based",IF(AG16="","",$AG$9*AG16),IF(AH16="","",AH16))</f>
        <v/>
      </c>
      <c r="AK16" s="50" t="str">
        <f t="shared" ref="AK16:AK50" si="11">IF(AG$8="Phase based",IF(AG16="","",(AG$9/AG$10)*AG16),IF(AH16="","",(AH16/AI16)))</f>
        <v/>
      </c>
      <c r="AL16" s="100"/>
      <c r="AM16" s="103"/>
      <c r="AN16" s="104"/>
      <c r="AO16" s="104"/>
      <c r="AP16" s="50" t="str">
        <f t="shared" ref="AP16:AP50" si="12">IF($AM$8="Phase based",IF(AM16="","",$AM$9*AM16),IF(AN16="","",AN16))</f>
        <v/>
      </c>
      <c r="AQ16" s="50" t="str">
        <f t="shared" ref="AQ16:AQ50" si="13">IF(AM$8="Phase based",IF(AM16="","",(AM$9/AM$10)*AM16),IF(AN16="","",(AN16/AO16)))</f>
        <v/>
      </c>
      <c r="AR16" s="100"/>
      <c r="AS16" s="103"/>
      <c r="AT16" s="104"/>
      <c r="AU16" s="104"/>
      <c r="AV16" s="50" t="str">
        <f t="shared" ref="AV16:AV50" si="14">IF($AS$8="Phase based",IF(AS16="","",$AS$9*AS16),IF(AT16="","",AT16))</f>
        <v/>
      </c>
      <c r="AW16" s="50" t="str">
        <f t="shared" ref="AW16:AW50" si="15">IF(AS$8="Phase based",IF(AS16="","",(AS$9/AS$10)*AS16),IF(AT16="","",(AT16/AU16)))</f>
        <v/>
      </c>
      <c r="AX16" s="100"/>
      <c r="AY16" s="103"/>
      <c r="AZ16" s="104"/>
      <c r="BA16" s="104"/>
      <c r="BB16" s="50" t="str">
        <f t="shared" ref="BB16:BB50" si="16">IF($AY$8="Phase based",IF(AY16="","",$AY$9*AY16),IF(AZ16="","",AZ16))</f>
        <v/>
      </c>
      <c r="BC16" s="50" t="str">
        <f t="shared" ref="BC16:BC50" si="17">IF(AY$8="Phase based",IF(AY16="","",(AY$9/AY$10)*AY16),IF(AZ16="","",(AZ16/BA16)))</f>
        <v/>
      </c>
      <c r="BD16" s="100"/>
      <c r="BE16" s="103"/>
      <c r="BF16" s="104"/>
      <c r="BG16" s="104"/>
      <c r="BH16" s="50" t="str">
        <f t="shared" ref="BH16:BH50" si="18">IF($BE$8="Phase based",IF(BE16="","",$BE$9*BE16),IF(BF16="","",BF16))</f>
        <v/>
      </c>
      <c r="BI16" s="50" t="str">
        <f t="shared" ref="BI16:BI50" si="19">IF(BE$8="Phase based",IF(BE16="","",(BE$9/BE$10)*BE16),IF(BF16="","",(BF16/BG16)))</f>
        <v/>
      </c>
    </row>
    <row r="17" spans="2:62" x14ac:dyDescent="0.25">
      <c r="B17" s="100" t="s">
        <v>139</v>
      </c>
      <c r="C17" s="101">
        <v>0.02</v>
      </c>
      <c r="D17" s="102"/>
      <c r="E17" s="102"/>
      <c r="F17" s="50">
        <f t="shared" si="0"/>
        <v>16.12</v>
      </c>
      <c r="G17" s="50">
        <f t="shared" si="1"/>
        <v>115.14285714285714</v>
      </c>
      <c r="H17" s="100" t="s">
        <v>139</v>
      </c>
      <c r="I17" s="101">
        <v>0.01</v>
      </c>
      <c r="J17" s="104"/>
      <c r="K17" s="104"/>
      <c r="L17" s="50">
        <f t="shared" si="2"/>
        <v>2.08</v>
      </c>
      <c r="M17" s="50">
        <f t="shared" si="3"/>
        <v>14.857142857142856</v>
      </c>
      <c r="N17" s="100" t="s">
        <v>139</v>
      </c>
      <c r="O17" s="101">
        <v>0.02</v>
      </c>
      <c r="P17" s="104"/>
      <c r="Q17" s="104"/>
      <c r="R17" s="50" t="str">
        <f t="shared" si="4"/>
        <v/>
      </c>
      <c r="S17" s="50" t="str">
        <f t="shared" si="5"/>
        <v/>
      </c>
      <c r="T17" s="100" t="s">
        <v>139</v>
      </c>
      <c r="U17" s="101">
        <v>0.02</v>
      </c>
      <c r="V17" s="104"/>
      <c r="W17" s="104"/>
      <c r="X17" s="50" t="str">
        <f t="shared" si="6"/>
        <v/>
      </c>
      <c r="Y17" s="50" t="str">
        <f t="shared" si="7"/>
        <v/>
      </c>
      <c r="Z17" s="100" t="s">
        <v>209</v>
      </c>
      <c r="AA17" s="103"/>
      <c r="AB17" s="104">
        <v>11</v>
      </c>
      <c r="AC17" s="104">
        <v>0.14000000000000001</v>
      </c>
      <c r="AD17" s="50">
        <f t="shared" si="8"/>
        <v>11</v>
      </c>
      <c r="AE17" s="50">
        <f t="shared" si="9"/>
        <v>78.571428571428569</v>
      </c>
      <c r="AF17" s="100"/>
      <c r="AG17" s="103"/>
      <c r="AH17" s="104"/>
      <c r="AI17" s="104"/>
      <c r="AJ17" s="50" t="str">
        <f t="shared" si="10"/>
        <v/>
      </c>
      <c r="AK17" s="50" t="str">
        <f t="shared" si="11"/>
        <v/>
      </c>
      <c r="AL17" s="100"/>
      <c r="AM17" s="103"/>
      <c r="AN17" s="104"/>
      <c r="AO17" s="104"/>
      <c r="AP17" s="50" t="str">
        <f t="shared" si="12"/>
        <v/>
      </c>
      <c r="AQ17" s="50" t="str">
        <f t="shared" si="13"/>
        <v/>
      </c>
      <c r="AR17" s="100"/>
      <c r="AS17" s="103"/>
      <c r="AT17" s="104"/>
      <c r="AU17" s="104"/>
      <c r="AV17" s="50" t="str">
        <f t="shared" si="14"/>
        <v/>
      </c>
      <c r="AW17" s="50" t="str">
        <f t="shared" si="15"/>
        <v/>
      </c>
      <c r="AX17" s="100"/>
      <c r="AY17" s="103"/>
      <c r="AZ17" s="104"/>
      <c r="BA17" s="104"/>
      <c r="BB17" s="50" t="str">
        <f t="shared" si="16"/>
        <v/>
      </c>
      <c r="BC17" s="50" t="str">
        <f t="shared" si="17"/>
        <v/>
      </c>
      <c r="BD17" s="100"/>
      <c r="BE17" s="103"/>
      <c r="BF17" s="104"/>
      <c r="BG17" s="104"/>
      <c r="BH17" s="50" t="str">
        <f t="shared" si="18"/>
        <v/>
      </c>
      <c r="BI17" s="50" t="str">
        <f t="shared" si="19"/>
        <v/>
      </c>
      <c r="BJ17" s="105"/>
    </row>
    <row r="18" spans="2:62" x14ac:dyDescent="0.25">
      <c r="B18" s="100" t="s">
        <v>140</v>
      </c>
      <c r="C18" s="101">
        <v>0.1</v>
      </c>
      <c r="D18" s="102"/>
      <c r="E18" s="102"/>
      <c r="F18" s="50">
        <f t="shared" si="0"/>
        <v>80.600000000000009</v>
      </c>
      <c r="G18" s="50">
        <f t="shared" si="1"/>
        <v>575.71428571428567</v>
      </c>
      <c r="H18" s="100" t="s">
        <v>140</v>
      </c>
      <c r="I18" s="101">
        <v>0.1</v>
      </c>
      <c r="J18" s="104"/>
      <c r="K18" s="104"/>
      <c r="L18" s="50">
        <f t="shared" si="2"/>
        <v>20.8</v>
      </c>
      <c r="M18" s="50">
        <f t="shared" si="3"/>
        <v>148.57142857142856</v>
      </c>
      <c r="N18" s="100" t="s">
        <v>140</v>
      </c>
      <c r="O18" s="101">
        <v>0.09</v>
      </c>
      <c r="P18" s="104"/>
      <c r="Q18" s="104"/>
      <c r="R18" s="50" t="str">
        <f t="shared" si="4"/>
        <v/>
      </c>
      <c r="S18" s="50" t="str">
        <f t="shared" si="5"/>
        <v/>
      </c>
      <c r="T18" s="100" t="s">
        <v>140</v>
      </c>
      <c r="U18" s="101">
        <v>0.09</v>
      </c>
      <c r="V18" s="104"/>
      <c r="W18" s="104"/>
      <c r="X18" s="50" t="str">
        <f t="shared" si="6"/>
        <v/>
      </c>
      <c r="Y18" s="50" t="str">
        <f t="shared" si="7"/>
        <v/>
      </c>
      <c r="Z18" s="100" t="s">
        <v>210</v>
      </c>
      <c r="AA18" s="103"/>
      <c r="AB18" s="104">
        <v>9</v>
      </c>
      <c r="AC18" s="104">
        <v>0.14000000000000001</v>
      </c>
      <c r="AD18" s="50">
        <f t="shared" si="8"/>
        <v>9</v>
      </c>
      <c r="AE18" s="50">
        <f t="shared" si="9"/>
        <v>64.285714285714278</v>
      </c>
      <c r="AF18" s="100"/>
      <c r="AG18" s="103"/>
      <c r="AH18" s="104"/>
      <c r="AI18" s="104"/>
      <c r="AJ18" s="50" t="str">
        <f t="shared" si="10"/>
        <v/>
      </c>
      <c r="AK18" s="50" t="str">
        <f t="shared" si="11"/>
        <v/>
      </c>
      <c r="AL18" s="100"/>
      <c r="AM18" s="103"/>
      <c r="AN18" s="104"/>
      <c r="AO18" s="104"/>
      <c r="AP18" s="50" t="str">
        <f t="shared" si="12"/>
        <v/>
      </c>
      <c r="AQ18" s="50" t="str">
        <f t="shared" si="13"/>
        <v/>
      </c>
      <c r="AR18" s="100"/>
      <c r="AS18" s="103"/>
      <c r="AT18" s="104"/>
      <c r="AU18" s="104"/>
      <c r="AV18" s="50" t="str">
        <f t="shared" si="14"/>
        <v/>
      </c>
      <c r="AW18" s="50" t="str">
        <f t="shared" si="15"/>
        <v/>
      </c>
      <c r="AX18" s="100"/>
      <c r="AY18" s="103"/>
      <c r="AZ18" s="104"/>
      <c r="BA18" s="104"/>
      <c r="BB18" s="50" t="str">
        <f t="shared" si="16"/>
        <v/>
      </c>
      <c r="BC18" s="50" t="str">
        <f t="shared" si="17"/>
        <v/>
      </c>
      <c r="BD18" s="100"/>
      <c r="BE18" s="103"/>
      <c r="BF18" s="104"/>
      <c r="BG18" s="104"/>
      <c r="BH18" s="50" t="str">
        <f t="shared" si="18"/>
        <v/>
      </c>
      <c r="BI18" s="50" t="str">
        <f t="shared" si="19"/>
        <v/>
      </c>
      <c r="BJ18" s="105"/>
    </row>
    <row r="19" spans="2:62" x14ac:dyDescent="0.25">
      <c r="B19" s="100" t="s">
        <v>141</v>
      </c>
      <c r="C19" s="101">
        <v>0</v>
      </c>
      <c r="D19" s="102"/>
      <c r="E19" s="102"/>
      <c r="F19" s="50">
        <f t="shared" si="0"/>
        <v>0</v>
      </c>
      <c r="G19" s="50">
        <f t="shared" si="1"/>
        <v>0</v>
      </c>
      <c r="H19" s="100" t="s">
        <v>141</v>
      </c>
      <c r="I19" s="101">
        <v>0</v>
      </c>
      <c r="J19" s="104"/>
      <c r="K19" s="104"/>
      <c r="L19" s="50">
        <f t="shared" si="2"/>
        <v>0</v>
      </c>
      <c r="M19" s="50">
        <f t="shared" si="3"/>
        <v>0</v>
      </c>
      <c r="N19" s="100" t="s">
        <v>141</v>
      </c>
      <c r="O19" s="101">
        <v>0</v>
      </c>
      <c r="P19" s="104"/>
      <c r="Q19" s="104"/>
      <c r="R19" s="50" t="str">
        <f t="shared" si="4"/>
        <v/>
      </c>
      <c r="S19" s="50" t="str">
        <f t="shared" si="5"/>
        <v/>
      </c>
      <c r="T19" s="100" t="s">
        <v>141</v>
      </c>
      <c r="U19" s="101">
        <v>0</v>
      </c>
      <c r="V19" s="104"/>
      <c r="W19" s="104"/>
      <c r="X19" s="50" t="str">
        <f t="shared" si="6"/>
        <v/>
      </c>
      <c r="Y19" s="50" t="str">
        <f t="shared" si="7"/>
        <v/>
      </c>
      <c r="Z19" s="100" t="s">
        <v>211</v>
      </c>
      <c r="AA19" s="103"/>
      <c r="AB19" s="104">
        <v>13</v>
      </c>
      <c r="AC19" s="104">
        <v>0.14000000000000001</v>
      </c>
      <c r="AD19" s="50">
        <f t="shared" si="8"/>
        <v>13</v>
      </c>
      <c r="AE19" s="50">
        <f t="shared" si="9"/>
        <v>92.857142857142847</v>
      </c>
      <c r="AF19" s="100"/>
      <c r="AG19" s="103"/>
      <c r="AH19" s="104"/>
      <c r="AI19" s="104"/>
      <c r="AJ19" s="50" t="str">
        <f t="shared" si="10"/>
        <v/>
      </c>
      <c r="AK19" s="50" t="str">
        <f t="shared" si="11"/>
        <v/>
      </c>
      <c r="AL19" s="100"/>
      <c r="AM19" s="103"/>
      <c r="AN19" s="104"/>
      <c r="AO19" s="104"/>
      <c r="AP19" s="50" t="str">
        <f t="shared" si="12"/>
        <v/>
      </c>
      <c r="AQ19" s="50" t="str">
        <f t="shared" si="13"/>
        <v/>
      </c>
      <c r="AR19" s="100"/>
      <c r="AS19" s="103"/>
      <c r="AT19" s="104"/>
      <c r="AU19" s="104"/>
      <c r="AV19" s="50" t="str">
        <f t="shared" si="14"/>
        <v/>
      </c>
      <c r="AW19" s="50" t="str">
        <f t="shared" si="15"/>
        <v/>
      </c>
      <c r="AX19" s="100"/>
      <c r="AY19" s="103"/>
      <c r="AZ19" s="104"/>
      <c r="BA19" s="104"/>
      <c r="BB19" s="50" t="str">
        <f t="shared" si="16"/>
        <v/>
      </c>
      <c r="BC19" s="50" t="str">
        <f t="shared" si="17"/>
        <v/>
      </c>
      <c r="BD19" s="100"/>
      <c r="BE19" s="103"/>
      <c r="BF19" s="104"/>
      <c r="BG19" s="104"/>
      <c r="BH19" s="50" t="str">
        <f t="shared" si="18"/>
        <v/>
      </c>
      <c r="BI19" s="50" t="str">
        <f t="shared" si="19"/>
        <v/>
      </c>
      <c r="BJ19" s="105"/>
    </row>
    <row r="20" spans="2:62" x14ac:dyDescent="0.25">
      <c r="B20" s="100" t="s">
        <v>143</v>
      </c>
      <c r="C20" s="101">
        <v>0.08</v>
      </c>
      <c r="D20" s="102"/>
      <c r="E20" s="102"/>
      <c r="F20" s="50">
        <f t="shared" si="0"/>
        <v>64.48</v>
      </c>
      <c r="G20" s="50">
        <f t="shared" si="1"/>
        <v>460.57142857142856</v>
      </c>
      <c r="H20" s="100" t="s">
        <v>233</v>
      </c>
      <c r="I20" s="101">
        <v>0.05</v>
      </c>
      <c r="J20" s="106"/>
      <c r="K20" s="106"/>
      <c r="L20" s="50">
        <f t="shared" si="2"/>
        <v>10.4</v>
      </c>
      <c r="M20" s="50">
        <f t="shared" si="3"/>
        <v>74.285714285714278</v>
      </c>
      <c r="N20" s="100" t="s">
        <v>143</v>
      </c>
      <c r="O20" s="101">
        <v>0.03</v>
      </c>
      <c r="P20" s="106"/>
      <c r="Q20" s="106"/>
      <c r="R20" s="50" t="str">
        <f t="shared" si="4"/>
        <v/>
      </c>
      <c r="S20" s="50" t="str">
        <f t="shared" si="5"/>
        <v/>
      </c>
      <c r="T20" s="100" t="s">
        <v>143</v>
      </c>
      <c r="U20" s="101">
        <v>0.03</v>
      </c>
      <c r="V20" s="106"/>
      <c r="W20" s="106"/>
      <c r="X20" s="50" t="str">
        <f t="shared" si="6"/>
        <v/>
      </c>
      <c r="Y20" s="50" t="str">
        <f t="shared" si="7"/>
        <v/>
      </c>
      <c r="Z20" s="100" t="s">
        <v>212</v>
      </c>
      <c r="AA20" s="106"/>
      <c r="AB20" s="106">
        <v>12</v>
      </c>
      <c r="AC20" s="104">
        <v>0.14000000000000001</v>
      </c>
      <c r="AD20" s="50">
        <f t="shared" si="8"/>
        <v>12</v>
      </c>
      <c r="AE20" s="50">
        <f t="shared" si="9"/>
        <v>85.714285714285708</v>
      </c>
      <c r="AF20" s="106"/>
      <c r="AG20" s="106"/>
      <c r="AH20" s="106"/>
      <c r="AI20" s="106"/>
      <c r="AJ20" s="50" t="str">
        <f t="shared" si="10"/>
        <v/>
      </c>
      <c r="AK20" s="50" t="str">
        <f t="shared" si="11"/>
        <v/>
      </c>
      <c r="AL20" s="106"/>
      <c r="AM20" s="106"/>
      <c r="AN20" s="106"/>
      <c r="AO20" s="106"/>
      <c r="AP20" s="50" t="str">
        <f t="shared" si="12"/>
        <v/>
      </c>
      <c r="AQ20" s="50" t="str">
        <f t="shared" si="13"/>
        <v/>
      </c>
      <c r="AR20" s="106"/>
      <c r="AS20" s="106"/>
      <c r="AT20" s="106"/>
      <c r="AU20" s="106"/>
      <c r="AV20" s="50" t="str">
        <f t="shared" si="14"/>
        <v/>
      </c>
      <c r="AW20" s="50" t="str">
        <f t="shared" si="15"/>
        <v/>
      </c>
      <c r="AX20" s="106"/>
      <c r="AY20" s="106"/>
      <c r="AZ20" s="106"/>
      <c r="BA20" s="106"/>
      <c r="BB20" s="50" t="str">
        <f t="shared" si="16"/>
        <v/>
      </c>
      <c r="BC20" s="50" t="str">
        <f t="shared" si="17"/>
        <v/>
      </c>
      <c r="BD20" s="106"/>
      <c r="BE20" s="106"/>
      <c r="BF20" s="106"/>
      <c r="BG20" s="106"/>
      <c r="BH20" s="50" t="str">
        <f t="shared" si="18"/>
        <v/>
      </c>
      <c r="BI20" s="50" t="str">
        <f t="shared" si="19"/>
        <v/>
      </c>
    </row>
    <row r="21" spans="2:62" x14ac:dyDescent="0.25">
      <c r="B21" s="100" t="s">
        <v>142</v>
      </c>
      <c r="C21" s="101">
        <v>0</v>
      </c>
      <c r="D21" s="102"/>
      <c r="E21" s="102"/>
      <c r="F21" s="50">
        <f t="shared" si="0"/>
        <v>0</v>
      </c>
      <c r="G21" s="50">
        <f t="shared" si="1"/>
        <v>0</v>
      </c>
      <c r="H21" s="100" t="s">
        <v>142</v>
      </c>
      <c r="I21" s="101">
        <v>0</v>
      </c>
      <c r="J21" s="106"/>
      <c r="K21" s="106"/>
      <c r="L21" s="50">
        <f t="shared" si="2"/>
        <v>0</v>
      </c>
      <c r="M21" s="50">
        <f t="shared" si="3"/>
        <v>0</v>
      </c>
      <c r="N21" s="100" t="s">
        <v>142</v>
      </c>
      <c r="O21" s="101">
        <v>0</v>
      </c>
      <c r="P21" s="106"/>
      <c r="Q21" s="106"/>
      <c r="R21" s="50" t="str">
        <f t="shared" si="4"/>
        <v/>
      </c>
      <c r="S21" s="50" t="str">
        <f t="shared" si="5"/>
        <v/>
      </c>
      <c r="T21" s="100" t="s">
        <v>142</v>
      </c>
      <c r="U21" s="101">
        <v>0</v>
      </c>
      <c r="V21" s="106"/>
      <c r="W21" s="106"/>
      <c r="X21" s="50" t="str">
        <f t="shared" si="6"/>
        <v/>
      </c>
      <c r="Y21" s="50" t="str">
        <f t="shared" si="7"/>
        <v/>
      </c>
      <c r="Z21" s="100" t="s">
        <v>213</v>
      </c>
      <c r="AA21" s="106"/>
      <c r="AB21" s="104">
        <v>10</v>
      </c>
      <c r="AC21" s="104">
        <v>0.14000000000000001</v>
      </c>
      <c r="AD21" s="50">
        <f t="shared" si="8"/>
        <v>10</v>
      </c>
      <c r="AE21" s="50">
        <f t="shared" si="9"/>
        <v>71.428571428571416</v>
      </c>
      <c r="AF21" s="106"/>
      <c r="AG21" s="106"/>
      <c r="AH21" s="106"/>
      <c r="AI21" s="106"/>
      <c r="AJ21" s="50" t="str">
        <f t="shared" si="10"/>
        <v/>
      </c>
      <c r="AK21" s="50" t="str">
        <f t="shared" si="11"/>
        <v/>
      </c>
      <c r="AL21" s="106"/>
      <c r="AM21" s="106"/>
      <c r="AN21" s="106"/>
      <c r="AO21" s="106"/>
      <c r="AP21" s="50" t="str">
        <f t="shared" si="12"/>
        <v/>
      </c>
      <c r="AQ21" s="50" t="str">
        <f t="shared" si="13"/>
        <v/>
      </c>
      <c r="AR21" s="106"/>
      <c r="AS21" s="106"/>
      <c r="AT21" s="106"/>
      <c r="AU21" s="106"/>
      <c r="AV21" s="50" t="str">
        <f t="shared" si="14"/>
        <v/>
      </c>
      <c r="AW21" s="50" t="str">
        <f t="shared" si="15"/>
        <v/>
      </c>
      <c r="AX21" s="106"/>
      <c r="AY21" s="106"/>
      <c r="AZ21" s="106"/>
      <c r="BA21" s="106"/>
      <c r="BB21" s="50" t="str">
        <f t="shared" si="16"/>
        <v/>
      </c>
      <c r="BC21" s="50" t="str">
        <f t="shared" si="17"/>
        <v/>
      </c>
      <c r="BD21" s="106"/>
      <c r="BE21" s="106"/>
      <c r="BF21" s="106"/>
      <c r="BG21" s="106"/>
      <c r="BH21" s="50" t="str">
        <f t="shared" si="18"/>
        <v/>
      </c>
      <c r="BI21" s="50" t="str">
        <f t="shared" si="19"/>
        <v/>
      </c>
    </row>
    <row r="22" spans="2:62" x14ac:dyDescent="0.25">
      <c r="B22" s="100" t="s">
        <v>144</v>
      </c>
      <c r="C22" s="101">
        <v>0.05</v>
      </c>
      <c r="D22" s="102"/>
      <c r="E22" s="102"/>
      <c r="F22" s="50">
        <f t="shared" si="0"/>
        <v>40.300000000000004</v>
      </c>
      <c r="G22" s="50">
        <f t="shared" si="1"/>
        <v>287.85714285714283</v>
      </c>
      <c r="H22" s="100" t="s">
        <v>144</v>
      </c>
      <c r="I22" s="101">
        <v>0.05</v>
      </c>
      <c r="J22" s="106"/>
      <c r="K22" s="106"/>
      <c r="L22" s="50">
        <f t="shared" si="2"/>
        <v>10.4</v>
      </c>
      <c r="M22" s="50">
        <f t="shared" si="3"/>
        <v>74.285714285714278</v>
      </c>
      <c r="N22" s="100" t="s">
        <v>144</v>
      </c>
      <c r="O22" s="101">
        <v>0.08</v>
      </c>
      <c r="P22" s="106"/>
      <c r="Q22" s="106"/>
      <c r="R22" s="50" t="str">
        <f t="shared" si="4"/>
        <v/>
      </c>
      <c r="S22" s="50" t="str">
        <f t="shared" si="5"/>
        <v/>
      </c>
      <c r="T22" s="100" t="s">
        <v>144</v>
      </c>
      <c r="U22" s="101">
        <v>0.08</v>
      </c>
      <c r="V22" s="106"/>
      <c r="W22" s="106"/>
      <c r="X22" s="50" t="str">
        <f t="shared" si="6"/>
        <v/>
      </c>
      <c r="Y22" s="50" t="str">
        <f t="shared" si="7"/>
        <v/>
      </c>
      <c r="Z22" s="100" t="s">
        <v>214</v>
      </c>
      <c r="AA22" s="106"/>
      <c r="AB22" s="104">
        <v>10</v>
      </c>
      <c r="AC22" s="104">
        <v>0.14000000000000001</v>
      </c>
      <c r="AD22" s="50">
        <f t="shared" si="8"/>
        <v>10</v>
      </c>
      <c r="AE22" s="50">
        <f t="shared" si="9"/>
        <v>71.428571428571416</v>
      </c>
      <c r="AF22" s="106"/>
      <c r="AG22" s="106"/>
      <c r="AH22" s="106"/>
      <c r="AI22" s="106"/>
      <c r="AJ22" s="50" t="str">
        <f t="shared" si="10"/>
        <v/>
      </c>
      <c r="AK22" s="50" t="str">
        <f t="shared" si="11"/>
        <v/>
      </c>
      <c r="AL22" s="106"/>
      <c r="AM22" s="106"/>
      <c r="AN22" s="106"/>
      <c r="AO22" s="106"/>
      <c r="AP22" s="50" t="str">
        <f t="shared" si="12"/>
        <v/>
      </c>
      <c r="AQ22" s="50" t="str">
        <f t="shared" si="13"/>
        <v/>
      </c>
      <c r="AR22" s="106"/>
      <c r="AS22" s="106"/>
      <c r="AT22" s="106"/>
      <c r="AU22" s="106"/>
      <c r="AV22" s="50" t="str">
        <f t="shared" si="14"/>
        <v/>
      </c>
      <c r="AW22" s="50" t="str">
        <f t="shared" si="15"/>
        <v/>
      </c>
      <c r="AX22" s="106"/>
      <c r="AY22" s="106"/>
      <c r="AZ22" s="106"/>
      <c r="BA22" s="106"/>
      <c r="BB22" s="50" t="str">
        <f t="shared" si="16"/>
        <v/>
      </c>
      <c r="BC22" s="50" t="str">
        <f t="shared" si="17"/>
        <v/>
      </c>
      <c r="BD22" s="106"/>
      <c r="BE22" s="106"/>
      <c r="BF22" s="106"/>
      <c r="BG22" s="106"/>
      <c r="BH22" s="50" t="str">
        <f t="shared" si="18"/>
        <v/>
      </c>
      <c r="BI22" s="50" t="str">
        <f t="shared" si="19"/>
        <v/>
      </c>
    </row>
    <row r="23" spans="2:62" x14ac:dyDescent="0.25">
      <c r="B23" s="100" t="s">
        <v>145</v>
      </c>
      <c r="C23" s="101">
        <v>0.15</v>
      </c>
      <c r="D23" s="102"/>
      <c r="E23" s="102"/>
      <c r="F23" s="50">
        <f t="shared" si="0"/>
        <v>120.89999999999999</v>
      </c>
      <c r="G23" s="50">
        <f t="shared" si="1"/>
        <v>863.57142857142856</v>
      </c>
      <c r="H23" s="100" t="s">
        <v>145</v>
      </c>
      <c r="I23" s="101">
        <v>0.2</v>
      </c>
      <c r="J23" s="106"/>
      <c r="K23" s="106"/>
      <c r="L23" s="50">
        <f t="shared" si="2"/>
        <v>41.6</v>
      </c>
      <c r="M23" s="50">
        <f t="shared" si="3"/>
        <v>297.14285714285711</v>
      </c>
      <c r="N23" s="100" t="s">
        <v>145</v>
      </c>
      <c r="O23" s="101">
        <v>0.05</v>
      </c>
      <c r="P23" s="106"/>
      <c r="Q23" s="106"/>
      <c r="R23" s="50" t="str">
        <f t="shared" si="4"/>
        <v/>
      </c>
      <c r="S23" s="50" t="str">
        <f t="shared" si="5"/>
        <v/>
      </c>
      <c r="T23" s="100" t="s">
        <v>145</v>
      </c>
      <c r="U23" s="101">
        <v>0.05</v>
      </c>
      <c r="V23" s="106"/>
      <c r="W23" s="106"/>
      <c r="X23" s="50" t="str">
        <f t="shared" si="6"/>
        <v/>
      </c>
      <c r="Y23" s="50" t="str">
        <f t="shared" si="7"/>
        <v/>
      </c>
      <c r="Z23" s="100" t="s">
        <v>215</v>
      </c>
      <c r="AA23" s="106"/>
      <c r="AB23" s="104">
        <v>12</v>
      </c>
      <c r="AC23" s="104">
        <v>0.14000000000000001</v>
      </c>
      <c r="AD23" s="50">
        <f t="shared" si="8"/>
        <v>12</v>
      </c>
      <c r="AE23" s="50">
        <f t="shared" si="9"/>
        <v>85.714285714285708</v>
      </c>
      <c r="AF23" s="106"/>
      <c r="AG23" s="106"/>
      <c r="AH23" s="106"/>
      <c r="AI23" s="106"/>
      <c r="AJ23" s="50" t="str">
        <f t="shared" si="10"/>
        <v/>
      </c>
      <c r="AK23" s="50" t="str">
        <f t="shared" si="11"/>
        <v/>
      </c>
      <c r="AL23" s="106"/>
      <c r="AM23" s="106"/>
      <c r="AN23" s="106"/>
      <c r="AO23" s="106"/>
      <c r="AP23" s="50" t="str">
        <f t="shared" si="12"/>
        <v/>
      </c>
      <c r="AQ23" s="50" t="str">
        <f t="shared" si="13"/>
        <v/>
      </c>
      <c r="AR23" s="106"/>
      <c r="AS23" s="106"/>
      <c r="AT23" s="106"/>
      <c r="AU23" s="106"/>
      <c r="AV23" s="50" t="str">
        <f t="shared" si="14"/>
        <v/>
      </c>
      <c r="AW23" s="50" t="str">
        <f t="shared" si="15"/>
        <v/>
      </c>
      <c r="AX23" s="106"/>
      <c r="AY23" s="106"/>
      <c r="AZ23" s="106"/>
      <c r="BA23" s="106"/>
      <c r="BB23" s="50" t="str">
        <f t="shared" si="16"/>
        <v/>
      </c>
      <c r="BC23" s="50" t="str">
        <f t="shared" si="17"/>
        <v/>
      </c>
      <c r="BD23" s="106"/>
      <c r="BE23" s="106"/>
      <c r="BF23" s="106"/>
      <c r="BG23" s="106"/>
      <c r="BH23" s="50" t="str">
        <f t="shared" si="18"/>
        <v/>
      </c>
      <c r="BI23" s="50" t="str">
        <f t="shared" si="19"/>
        <v/>
      </c>
    </row>
    <row r="24" spans="2:62" x14ac:dyDescent="0.25">
      <c r="B24" s="100" t="s">
        <v>236</v>
      </c>
      <c r="C24" s="101">
        <v>0.05</v>
      </c>
      <c r="D24" s="102"/>
      <c r="E24" s="102"/>
      <c r="F24" s="50">
        <f t="shared" si="0"/>
        <v>40.300000000000004</v>
      </c>
      <c r="G24" s="50">
        <f t="shared" si="1"/>
        <v>287.85714285714283</v>
      </c>
      <c r="H24" s="100" t="s">
        <v>236</v>
      </c>
      <c r="I24" s="101">
        <v>0.05</v>
      </c>
      <c r="J24" s="106"/>
      <c r="K24" s="106"/>
      <c r="L24" s="50">
        <f t="shared" si="2"/>
        <v>10.4</v>
      </c>
      <c r="M24" s="50">
        <f t="shared" si="3"/>
        <v>74.285714285714278</v>
      </c>
      <c r="N24" s="100" t="s">
        <v>236</v>
      </c>
      <c r="O24" s="101">
        <v>0.05</v>
      </c>
      <c r="P24" s="106"/>
      <c r="Q24" s="106"/>
      <c r="R24" s="50" t="str">
        <f t="shared" si="4"/>
        <v/>
      </c>
      <c r="S24" s="50" t="str">
        <f t="shared" si="5"/>
        <v/>
      </c>
      <c r="T24" s="100" t="s">
        <v>236</v>
      </c>
      <c r="U24" s="101">
        <v>0.05</v>
      </c>
      <c r="V24" s="106"/>
      <c r="W24" s="106"/>
      <c r="X24" s="50" t="str">
        <f t="shared" si="6"/>
        <v/>
      </c>
      <c r="Y24" s="50" t="str">
        <f t="shared" si="7"/>
        <v/>
      </c>
      <c r="Z24" s="106" t="s">
        <v>216</v>
      </c>
      <c r="AA24" s="106"/>
      <c r="AB24" s="106">
        <v>13</v>
      </c>
      <c r="AC24" s="104">
        <v>0.14000000000000001</v>
      </c>
      <c r="AD24" s="50">
        <f t="shared" si="8"/>
        <v>13</v>
      </c>
      <c r="AE24" s="50">
        <f t="shared" si="9"/>
        <v>92.857142857142847</v>
      </c>
      <c r="AF24" s="106"/>
      <c r="AG24" s="106"/>
      <c r="AH24" s="106"/>
      <c r="AI24" s="106"/>
      <c r="AJ24" s="50" t="str">
        <f t="shared" si="10"/>
        <v/>
      </c>
      <c r="AK24" s="50" t="str">
        <f t="shared" si="11"/>
        <v/>
      </c>
      <c r="AL24" s="106"/>
      <c r="AM24" s="106"/>
      <c r="AN24" s="106"/>
      <c r="AO24" s="106"/>
      <c r="AP24" s="50" t="str">
        <f t="shared" si="12"/>
        <v/>
      </c>
      <c r="AQ24" s="50" t="str">
        <f t="shared" si="13"/>
        <v/>
      </c>
      <c r="AR24" s="106"/>
      <c r="AS24" s="106"/>
      <c r="AT24" s="106"/>
      <c r="AU24" s="106"/>
      <c r="AV24" s="50" t="str">
        <f t="shared" si="14"/>
        <v/>
      </c>
      <c r="AW24" s="50" t="str">
        <f t="shared" si="15"/>
        <v/>
      </c>
      <c r="AX24" s="106"/>
      <c r="AY24" s="106"/>
      <c r="AZ24" s="106"/>
      <c r="BA24" s="106"/>
      <c r="BB24" s="50" t="str">
        <f t="shared" si="16"/>
        <v/>
      </c>
      <c r="BC24" s="50" t="str">
        <f t="shared" si="17"/>
        <v/>
      </c>
      <c r="BD24" s="106"/>
      <c r="BE24" s="106"/>
      <c r="BF24" s="106"/>
      <c r="BG24" s="106"/>
      <c r="BH24" s="50" t="str">
        <f t="shared" si="18"/>
        <v/>
      </c>
      <c r="BI24" s="50" t="str">
        <f t="shared" si="19"/>
        <v/>
      </c>
    </row>
    <row r="25" spans="2:62" x14ac:dyDescent="0.25">
      <c r="B25" s="100" t="s">
        <v>235</v>
      </c>
      <c r="C25" s="101">
        <v>0.1</v>
      </c>
      <c r="D25" s="102"/>
      <c r="E25" s="102"/>
      <c r="F25" s="50">
        <f t="shared" si="0"/>
        <v>80.600000000000009</v>
      </c>
      <c r="G25" s="50">
        <f t="shared" si="1"/>
        <v>575.71428571428567</v>
      </c>
      <c r="H25" s="100" t="s">
        <v>235</v>
      </c>
      <c r="I25" s="101">
        <v>0.1</v>
      </c>
      <c r="J25" s="106"/>
      <c r="K25" s="106"/>
      <c r="L25" s="50">
        <f t="shared" si="2"/>
        <v>20.8</v>
      </c>
      <c r="M25" s="50">
        <f t="shared" si="3"/>
        <v>148.57142857142856</v>
      </c>
      <c r="N25" s="100" t="s">
        <v>235</v>
      </c>
      <c r="O25" s="101">
        <v>0.1</v>
      </c>
      <c r="P25" s="106"/>
      <c r="Q25" s="106"/>
      <c r="R25" s="50" t="str">
        <f t="shared" si="4"/>
        <v/>
      </c>
      <c r="S25" s="50" t="str">
        <f t="shared" si="5"/>
        <v/>
      </c>
      <c r="T25" s="100" t="s">
        <v>235</v>
      </c>
      <c r="U25" s="101">
        <v>0.1</v>
      </c>
      <c r="V25" s="106"/>
      <c r="W25" s="106"/>
      <c r="X25" s="50" t="str">
        <f t="shared" si="6"/>
        <v/>
      </c>
      <c r="Y25" s="50" t="str">
        <f t="shared" si="7"/>
        <v/>
      </c>
      <c r="Z25" s="106" t="s">
        <v>217</v>
      </c>
      <c r="AA25" s="106"/>
      <c r="AB25" s="104">
        <v>13</v>
      </c>
      <c r="AC25" s="104">
        <v>0.14000000000000001</v>
      </c>
      <c r="AD25" s="50">
        <f t="shared" si="8"/>
        <v>13</v>
      </c>
      <c r="AE25" s="50">
        <f t="shared" si="9"/>
        <v>92.857142857142847</v>
      </c>
      <c r="AF25" s="106"/>
      <c r="AG25" s="106"/>
      <c r="AH25" s="106"/>
      <c r="AI25" s="106"/>
      <c r="AJ25" s="50" t="str">
        <f t="shared" si="10"/>
        <v/>
      </c>
      <c r="AK25" s="50" t="str">
        <f t="shared" si="11"/>
        <v/>
      </c>
      <c r="AL25" s="106"/>
      <c r="AM25" s="106"/>
      <c r="AN25" s="106"/>
      <c r="AO25" s="106"/>
      <c r="AP25" s="50" t="str">
        <f t="shared" si="12"/>
        <v/>
      </c>
      <c r="AQ25" s="50" t="str">
        <f t="shared" si="13"/>
        <v/>
      </c>
      <c r="AR25" s="106"/>
      <c r="AS25" s="106"/>
      <c r="AT25" s="106"/>
      <c r="AU25" s="106"/>
      <c r="AV25" s="50" t="str">
        <f t="shared" si="14"/>
        <v/>
      </c>
      <c r="AW25" s="50" t="str">
        <f t="shared" si="15"/>
        <v/>
      </c>
      <c r="AX25" s="106"/>
      <c r="AY25" s="106"/>
      <c r="AZ25" s="106"/>
      <c r="BA25" s="106"/>
      <c r="BB25" s="50" t="str">
        <f t="shared" si="16"/>
        <v/>
      </c>
      <c r="BC25" s="50" t="str">
        <f t="shared" si="17"/>
        <v/>
      </c>
      <c r="BD25" s="106"/>
      <c r="BE25" s="106"/>
      <c r="BF25" s="106"/>
      <c r="BG25" s="106"/>
      <c r="BH25" s="50" t="str">
        <f t="shared" si="18"/>
        <v/>
      </c>
      <c r="BI25" s="50" t="str">
        <f t="shared" si="19"/>
        <v/>
      </c>
    </row>
    <row r="26" spans="2:62" x14ac:dyDescent="0.25">
      <c r="B26" s="100"/>
      <c r="C26" s="101"/>
      <c r="D26" s="102"/>
      <c r="E26" s="102"/>
      <c r="F26" s="50" t="str">
        <f t="shared" si="0"/>
        <v/>
      </c>
      <c r="G26" s="50" t="str">
        <f t="shared" si="1"/>
        <v/>
      </c>
      <c r="H26" s="100"/>
      <c r="I26" s="101"/>
      <c r="J26" s="106"/>
      <c r="K26" s="106"/>
      <c r="L26" s="50" t="str">
        <f t="shared" si="2"/>
        <v/>
      </c>
      <c r="M26" s="50" t="str">
        <f t="shared" si="3"/>
        <v/>
      </c>
      <c r="N26" s="106"/>
      <c r="O26" s="106"/>
      <c r="P26" s="106"/>
      <c r="Q26" s="106"/>
      <c r="R26" s="50" t="str">
        <f t="shared" si="4"/>
        <v/>
      </c>
      <c r="S26" s="50" t="str">
        <f t="shared" si="5"/>
        <v/>
      </c>
      <c r="T26" s="106"/>
      <c r="U26" s="106"/>
      <c r="V26" s="106"/>
      <c r="W26" s="106"/>
      <c r="X26" s="50" t="str">
        <f t="shared" si="6"/>
        <v/>
      </c>
      <c r="Y26" s="50" t="str">
        <f t="shared" si="7"/>
        <v/>
      </c>
      <c r="Z26" s="106" t="s">
        <v>218</v>
      </c>
      <c r="AA26" s="106"/>
      <c r="AB26" s="104">
        <v>9</v>
      </c>
      <c r="AC26" s="104">
        <v>0.14000000000000001</v>
      </c>
      <c r="AD26" s="50">
        <f t="shared" si="8"/>
        <v>9</v>
      </c>
      <c r="AE26" s="50">
        <f t="shared" si="9"/>
        <v>64.285714285714278</v>
      </c>
      <c r="AF26" s="106"/>
      <c r="AG26" s="106"/>
      <c r="AH26" s="106"/>
      <c r="AI26" s="106"/>
      <c r="AJ26" s="50" t="str">
        <f t="shared" si="10"/>
        <v/>
      </c>
      <c r="AK26" s="50" t="str">
        <f t="shared" si="11"/>
        <v/>
      </c>
      <c r="AL26" s="106"/>
      <c r="AM26" s="106"/>
      <c r="AN26" s="106"/>
      <c r="AO26" s="106"/>
      <c r="AP26" s="50" t="str">
        <f t="shared" si="12"/>
        <v/>
      </c>
      <c r="AQ26" s="50" t="str">
        <f t="shared" si="13"/>
        <v/>
      </c>
      <c r="AR26" s="106"/>
      <c r="AS26" s="106"/>
      <c r="AT26" s="106"/>
      <c r="AU26" s="106"/>
      <c r="AV26" s="50" t="str">
        <f t="shared" si="14"/>
        <v/>
      </c>
      <c r="AW26" s="50" t="str">
        <f t="shared" si="15"/>
        <v/>
      </c>
      <c r="AX26" s="106"/>
      <c r="AY26" s="106"/>
      <c r="AZ26" s="106"/>
      <c r="BA26" s="106"/>
      <c r="BB26" s="50" t="str">
        <f t="shared" si="16"/>
        <v/>
      </c>
      <c r="BC26" s="50" t="str">
        <f t="shared" si="17"/>
        <v/>
      </c>
      <c r="BD26" s="106"/>
      <c r="BE26" s="106"/>
      <c r="BF26" s="106"/>
      <c r="BG26" s="106"/>
      <c r="BH26" s="50" t="str">
        <f t="shared" si="18"/>
        <v/>
      </c>
      <c r="BI26" s="50" t="str">
        <f t="shared" si="19"/>
        <v/>
      </c>
    </row>
    <row r="27" spans="2:62" x14ac:dyDescent="0.25">
      <c r="B27" s="100"/>
      <c r="C27" s="101"/>
      <c r="D27" s="102"/>
      <c r="E27" s="102"/>
      <c r="F27" s="50" t="str">
        <f t="shared" si="0"/>
        <v/>
      </c>
      <c r="G27" s="50" t="str">
        <f t="shared" si="1"/>
        <v/>
      </c>
      <c r="H27" s="106"/>
      <c r="I27" s="106"/>
      <c r="J27" s="106"/>
      <c r="K27" s="106"/>
      <c r="L27" s="50" t="str">
        <f t="shared" si="2"/>
        <v/>
      </c>
      <c r="M27" s="50" t="str">
        <f t="shared" si="3"/>
        <v/>
      </c>
      <c r="N27" s="106"/>
      <c r="O27" s="106"/>
      <c r="P27" s="106"/>
      <c r="Q27" s="106"/>
      <c r="R27" s="50" t="str">
        <f t="shared" si="4"/>
        <v/>
      </c>
      <c r="S27" s="50" t="str">
        <f t="shared" si="5"/>
        <v/>
      </c>
      <c r="T27" s="106"/>
      <c r="U27" s="106"/>
      <c r="V27" s="106"/>
      <c r="W27" s="106"/>
      <c r="X27" s="50" t="str">
        <f t="shared" si="6"/>
        <v/>
      </c>
      <c r="Y27" s="50" t="str">
        <f t="shared" si="7"/>
        <v/>
      </c>
      <c r="Z27" s="106" t="s">
        <v>219</v>
      </c>
      <c r="AA27" s="106"/>
      <c r="AB27" s="104">
        <v>11</v>
      </c>
      <c r="AC27" s="104">
        <v>0.14000000000000001</v>
      </c>
      <c r="AD27" s="50">
        <f t="shared" si="8"/>
        <v>11</v>
      </c>
      <c r="AE27" s="50">
        <f t="shared" si="9"/>
        <v>78.571428571428569</v>
      </c>
      <c r="AF27" s="106"/>
      <c r="AG27" s="106"/>
      <c r="AH27" s="106"/>
      <c r="AI27" s="106"/>
      <c r="AJ27" s="50" t="str">
        <f t="shared" si="10"/>
        <v/>
      </c>
      <c r="AK27" s="50" t="str">
        <f t="shared" si="11"/>
        <v/>
      </c>
      <c r="AL27" s="106"/>
      <c r="AM27" s="106"/>
      <c r="AN27" s="106"/>
      <c r="AO27" s="106"/>
      <c r="AP27" s="50" t="str">
        <f t="shared" si="12"/>
        <v/>
      </c>
      <c r="AQ27" s="50" t="str">
        <f t="shared" si="13"/>
        <v/>
      </c>
      <c r="AR27" s="106"/>
      <c r="AS27" s="106"/>
      <c r="AT27" s="106"/>
      <c r="AU27" s="106"/>
      <c r="AV27" s="50" t="str">
        <f t="shared" si="14"/>
        <v/>
      </c>
      <c r="AW27" s="50" t="str">
        <f t="shared" si="15"/>
        <v/>
      </c>
      <c r="AX27" s="106"/>
      <c r="AY27" s="106"/>
      <c r="AZ27" s="106"/>
      <c r="BA27" s="106"/>
      <c r="BB27" s="50" t="str">
        <f t="shared" si="16"/>
        <v/>
      </c>
      <c r="BC27" s="50" t="str">
        <f t="shared" si="17"/>
        <v/>
      </c>
      <c r="BD27" s="106"/>
      <c r="BE27" s="106"/>
      <c r="BF27" s="106"/>
      <c r="BG27" s="106"/>
      <c r="BH27" s="50" t="str">
        <f t="shared" si="18"/>
        <v/>
      </c>
      <c r="BI27" s="50" t="str">
        <f t="shared" si="19"/>
        <v/>
      </c>
    </row>
    <row r="28" spans="2:62" x14ac:dyDescent="0.25">
      <c r="B28" s="100"/>
      <c r="C28" s="101"/>
      <c r="D28" s="102"/>
      <c r="E28" s="102"/>
      <c r="F28" s="50" t="str">
        <f t="shared" si="0"/>
        <v/>
      </c>
      <c r="G28" s="50" t="str">
        <f t="shared" si="1"/>
        <v/>
      </c>
      <c r="H28" s="106"/>
      <c r="I28" s="106"/>
      <c r="J28" s="106"/>
      <c r="K28" s="106"/>
      <c r="L28" s="50" t="str">
        <f t="shared" si="2"/>
        <v/>
      </c>
      <c r="M28" s="50" t="str">
        <f t="shared" si="3"/>
        <v/>
      </c>
      <c r="N28" s="106"/>
      <c r="O28" s="106"/>
      <c r="P28" s="106"/>
      <c r="Q28" s="106"/>
      <c r="R28" s="50" t="str">
        <f t="shared" si="4"/>
        <v/>
      </c>
      <c r="S28" s="50" t="str">
        <f t="shared" si="5"/>
        <v/>
      </c>
      <c r="T28" s="106"/>
      <c r="U28" s="106"/>
      <c r="V28" s="106"/>
      <c r="W28" s="106"/>
      <c r="X28" s="50" t="str">
        <f t="shared" si="6"/>
        <v/>
      </c>
      <c r="Y28" s="50" t="str">
        <f t="shared" si="7"/>
        <v/>
      </c>
      <c r="Z28" s="106" t="s">
        <v>220</v>
      </c>
      <c r="AA28" s="106"/>
      <c r="AB28" s="106">
        <v>12</v>
      </c>
      <c r="AC28" s="104">
        <v>0.14000000000000001</v>
      </c>
      <c r="AD28" s="50">
        <f t="shared" si="8"/>
        <v>12</v>
      </c>
      <c r="AE28" s="50">
        <f t="shared" si="9"/>
        <v>85.714285714285708</v>
      </c>
      <c r="AF28" s="106"/>
      <c r="AG28" s="106"/>
      <c r="AH28" s="106"/>
      <c r="AI28" s="106"/>
      <c r="AJ28" s="50" t="str">
        <f t="shared" si="10"/>
        <v/>
      </c>
      <c r="AK28" s="50" t="str">
        <f t="shared" si="11"/>
        <v/>
      </c>
      <c r="AL28" s="106"/>
      <c r="AM28" s="106"/>
      <c r="AN28" s="106"/>
      <c r="AO28" s="106"/>
      <c r="AP28" s="50" t="str">
        <f t="shared" si="12"/>
        <v/>
      </c>
      <c r="AQ28" s="50" t="str">
        <f t="shared" si="13"/>
        <v/>
      </c>
      <c r="AR28" s="106"/>
      <c r="AS28" s="106"/>
      <c r="AT28" s="106"/>
      <c r="AU28" s="106"/>
      <c r="AV28" s="50" t="str">
        <f t="shared" si="14"/>
        <v/>
      </c>
      <c r="AW28" s="50" t="str">
        <f t="shared" si="15"/>
        <v/>
      </c>
      <c r="AX28" s="106"/>
      <c r="AY28" s="106"/>
      <c r="AZ28" s="106"/>
      <c r="BA28" s="106"/>
      <c r="BB28" s="50" t="str">
        <f t="shared" si="16"/>
        <v/>
      </c>
      <c r="BC28" s="50" t="str">
        <f t="shared" si="17"/>
        <v/>
      </c>
      <c r="BD28" s="106"/>
      <c r="BE28" s="106"/>
      <c r="BF28" s="106"/>
      <c r="BG28" s="106"/>
      <c r="BH28" s="50" t="str">
        <f t="shared" si="18"/>
        <v/>
      </c>
      <c r="BI28" s="50" t="str">
        <f t="shared" si="19"/>
        <v/>
      </c>
    </row>
    <row r="29" spans="2:62" x14ac:dyDescent="0.25">
      <c r="B29" s="100"/>
      <c r="C29" s="101"/>
      <c r="D29" s="102"/>
      <c r="E29" s="102"/>
      <c r="F29" s="50" t="str">
        <f t="shared" si="0"/>
        <v/>
      </c>
      <c r="G29" s="50" t="str">
        <f t="shared" si="1"/>
        <v/>
      </c>
      <c r="H29" s="106"/>
      <c r="I29" s="106"/>
      <c r="J29" s="106"/>
      <c r="K29" s="106"/>
      <c r="L29" s="50" t="str">
        <f t="shared" si="2"/>
        <v/>
      </c>
      <c r="M29" s="50" t="str">
        <f t="shared" si="3"/>
        <v/>
      </c>
      <c r="N29" s="106"/>
      <c r="O29" s="106"/>
      <c r="P29" s="106"/>
      <c r="Q29" s="106"/>
      <c r="R29" s="50" t="str">
        <f t="shared" si="4"/>
        <v/>
      </c>
      <c r="S29" s="50" t="str">
        <f t="shared" si="5"/>
        <v/>
      </c>
      <c r="T29" s="106"/>
      <c r="U29" s="106"/>
      <c r="V29" s="106"/>
      <c r="W29" s="106"/>
      <c r="X29" s="50" t="str">
        <f t="shared" si="6"/>
        <v/>
      </c>
      <c r="Y29" s="50" t="str">
        <f t="shared" si="7"/>
        <v/>
      </c>
      <c r="Z29" s="106" t="s">
        <v>221</v>
      </c>
      <c r="AA29" s="106"/>
      <c r="AB29" s="104">
        <v>9</v>
      </c>
      <c r="AC29" s="104">
        <v>0.14000000000000001</v>
      </c>
      <c r="AD29" s="50">
        <f t="shared" si="8"/>
        <v>9</v>
      </c>
      <c r="AE29" s="50">
        <f t="shared" si="9"/>
        <v>64.285714285714278</v>
      </c>
      <c r="AF29" s="106"/>
      <c r="AG29" s="106"/>
      <c r="AH29" s="106"/>
      <c r="AI29" s="106"/>
      <c r="AJ29" s="50" t="str">
        <f t="shared" si="10"/>
        <v/>
      </c>
      <c r="AK29" s="50" t="str">
        <f t="shared" si="11"/>
        <v/>
      </c>
      <c r="AL29" s="106"/>
      <c r="AM29" s="106"/>
      <c r="AN29" s="106"/>
      <c r="AO29" s="106"/>
      <c r="AP29" s="50" t="str">
        <f t="shared" si="12"/>
        <v/>
      </c>
      <c r="AQ29" s="50" t="str">
        <f t="shared" si="13"/>
        <v/>
      </c>
      <c r="AR29" s="106"/>
      <c r="AS29" s="106"/>
      <c r="AT29" s="106"/>
      <c r="AU29" s="106"/>
      <c r="AV29" s="50" t="str">
        <f t="shared" si="14"/>
        <v/>
      </c>
      <c r="AW29" s="50" t="str">
        <f t="shared" si="15"/>
        <v/>
      </c>
      <c r="AX29" s="106"/>
      <c r="AY29" s="106"/>
      <c r="AZ29" s="106"/>
      <c r="BA29" s="106"/>
      <c r="BB29" s="50" t="str">
        <f t="shared" si="16"/>
        <v/>
      </c>
      <c r="BC29" s="50" t="str">
        <f t="shared" si="17"/>
        <v/>
      </c>
      <c r="BD29" s="106"/>
      <c r="BE29" s="106"/>
      <c r="BF29" s="106"/>
      <c r="BG29" s="106"/>
      <c r="BH29" s="50" t="str">
        <f t="shared" si="18"/>
        <v/>
      </c>
      <c r="BI29" s="50" t="str">
        <f t="shared" si="19"/>
        <v/>
      </c>
    </row>
    <row r="30" spans="2:62" x14ac:dyDescent="0.25">
      <c r="B30" s="100"/>
      <c r="C30" s="101"/>
      <c r="D30" s="102"/>
      <c r="E30" s="102"/>
      <c r="F30" s="50" t="str">
        <f t="shared" si="0"/>
        <v/>
      </c>
      <c r="G30" s="50" t="str">
        <f t="shared" si="1"/>
        <v/>
      </c>
      <c r="H30" s="106"/>
      <c r="I30" s="106"/>
      <c r="J30" s="106"/>
      <c r="K30" s="106"/>
      <c r="L30" s="50" t="str">
        <f t="shared" si="2"/>
        <v/>
      </c>
      <c r="M30" s="50" t="str">
        <f t="shared" si="3"/>
        <v/>
      </c>
      <c r="N30" s="106"/>
      <c r="O30" s="106"/>
      <c r="P30" s="106"/>
      <c r="Q30" s="106"/>
      <c r="R30" s="50" t="str">
        <f t="shared" si="4"/>
        <v/>
      </c>
      <c r="S30" s="50" t="str">
        <f t="shared" si="5"/>
        <v/>
      </c>
      <c r="T30" s="106"/>
      <c r="U30" s="106"/>
      <c r="V30" s="106"/>
      <c r="W30" s="106"/>
      <c r="X30" s="50" t="str">
        <f t="shared" si="6"/>
        <v/>
      </c>
      <c r="Y30" s="50" t="str">
        <f t="shared" si="7"/>
        <v/>
      </c>
      <c r="Z30" s="106" t="s">
        <v>222</v>
      </c>
      <c r="AA30" s="106"/>
      <c r="AB30" s="104">
        <v>13</v>
      </c>
      <c r="AC30" s="104">
        <v>0.14000000000000001</v>
      </c>
      <c r="AD30" s="50">
        <f t="shared" si="8"/>
        <v>13</v>
      </c>
      <c r="AE30" s="50">
        <f t="shared" si="9"/>
        <v>92.857142857142847</v>
      </c>
      <c r="AF30" s="106"/>
      <c r="AG30" s="106"/>
      <c r="AH30" s="106"/>
      <c r="AI30" s="106"/>
      <c r="AJ30" s="50" t="str">
        <f t="shared" si="10"/>
        <v/>
      </c>
      <c r="AK30" s="50" t="str">
        <f t="shared" si="11"/>
        <v/>
      </c>
      <c r="AL30" s="106"/>
      <c r="AM30" s="106"/>
      <c r="AN30" s="106"/>
      <c r="AO30" s="106"/>
      <c r="AP30" s="50" t="str">
        <f t="shared" si="12"/>
        <v/>
      </c>
      <c r="AQ30" s="50" t="str">
        <f t="shared" si="13"/>
        <v/>
      </c>
      <c r="AR30" s="106"/>
      <c r="AS30" s="106"/>
      <c r="AT30" s="106"/>
      <c r="AU30" s="106"/>
      <c r="AV30" s="50" t="str">
        <f t="shared" si="14"/>
        <v/>
      </c>
      <c r="AW30" s="50" t="str">
        <f t="shared" si="15"/>
        <v/>
      </c>
      <c r="AX30" s="106"/>
      <c r="AY30" s="106"/>
      <c r="AZ30" s="106"/>
      <c r="BA30" s="106"/>
      <c r="BB30" s="50" t="str">
        <f t="shared" si="16"/>
        <v/>
      </c>
      <c r="BC30" s="50" t="str">
        <f t="shared" si="17"/>
        <v/>
      </c>
      <c r="BD30" s="106"/>
      <c r="BE30" s="106"/>
      <c r="BF30" s="106"/>
      <c r="BG30" s="106"/>
      <c r="BH30" s="50" t="str">
        <f t="shared" si="18"/>
        <v/>
      </c>
      <c r="BI30" s="50" t="str">
        <f t="shared" si="19"/>
        <v/>
      </c>
    </row>
    <row r="31" spans="2:62" x14ac:dyDescent="0.25">
      <c r="B31" s="100"/>
      <c r="C31" s="101"/>
      <c r="D31" s="102"/>
      <c r="E31" s="102"/>
      <c r="F31" s="50" t="str">
        <f t="shared" si="0"/>
        <v/>
      </c>
      <c r="G31" s="50" t="str">
        <f t="shared" si="1"/>
        <v/>
      </c>
      <c r="H31" s="106"/>
      <c r="I31" s="106"/>
      <c r="J31" s="106"/>
      <c r="K31" s="106"/>
      <c r="L31" s="50" t="str">
        <f t="shared" si="2"/>
        <v/>
      </c>
      <c r="M31" s="50" t="str">
        <f t="shared" si="3"/>
        <v/>
      </c>
      <c r="N31" s="106"/>
      <c r="O31" s="106"/>
      <c r="P31" s="106"/>
      <c r="Q31" s="106"/>
      <c r="R31" s="50" t="str">
        <f t="shared" si="4"/>
        <v/>
      </c>
      <c r="S31" s="50" t="str">
        <f t="shared" si="5"/>
        <v/>
      </c>
      <c r="T31" s="106"/>
      <c r="U31" s="106"/>
      <c r="V31" s="106"/>
      <c r="W31" s="106"/>
      <c r="X31" s="50" t="str">
        <f t="shared" si="6"/>
        <v/>
      </c>
      <c r="Y31" s="50" t="str">
        <f t="shared" si="7"/>
        <v/>
      </c>
      <c r="Z31" s="106" t="s">
        <v>223</v>
      </c>
      <c r="AA31" s="106"/>
      <c r="AB31" s="104">
        <v>13</v>
      </c>
      <c r="AC31" s="104">
        <v>0.14000000000000001</v>
      </c>
      <c r="AD31" s="50">
        <f t="shared" si="8"/>
        <v>13</v>
      </c>
      <c r="AE31" s="50">
        <f t="shared" si="9"/>
        <v>92.857142857142847</v>
      </c>
      <c r="AF31" s="106"/>
      <c r="AG31" s="106"/>
      <c r="AH31" s="106"/>
      <c r="AI31" s="106"/>
      <c r="AJ31" s="50" t="str">
        <f t="shared" si="10"/>
        <v/>
      </c>
      <c r="AK31" s="50" t="str">
        <f t="shared" si="11"/>
        <v/>
      </c>
      <c r="AL31" s="106"/>
      <c r="AM31" s="106"/>
      <c r="AN31" s="106"/>
      <c r="AO31" s="106"/>
      <c r="AP31" s="50" t="str">
        <f t="shared" si="12"/>
        <v/>
      </c>
      <c r="AQ31" s="50" t="str">
        <f t="shared" si="13"/>
        <v/>
      </c>
      <c r="AR31" s="106"/>
      <c r="AS31" s="106"/>
      <c r="AT31" s="106"/>
      <c r="AU31" s="106"/>
      <c r="AV31" s="50" t="str">
        <f t="shared" si="14"/>
        <v/>
      </c>
      <c r="AW31" s="50" t="str">
        <f t="shared" si="15"/>
        <v/>
      </c>
      <c r="AX31" s="106"/>
      <c r="AY31" s="106"/>
      <c r="AZ31" s="106"/>
      <c r="BA31" s="106"/>
      <c r="BB31" s="50" t="str">
        <f t="shared" si="16"/>
        <v/>
      </c>
      <c r="BC31" s="50" t="str">
        <f t="shared" si="17"/>
        <v/>
      </c>
      <c r="BD31" s="106"/>
      <c r="BE31" s="106"/>
      <c r="BF31" s="106"/>
      <c r="BG31" s="106"/>
      <c r="BH31" s="50" t="str">
        <f t="shared" si="18"/>
        <v/>
      </c>
      <c r="BI31" s="50" t="str">
        <f t="shared" si="19"/>
        <v/>
      </c>
    </row>
    <row r="32" spans="2:62" x14ac:dyDescent="0.25">
      <c r="B32" s="100"/>
      <c r="C32" s="101"/>
      <c r="D32" s="102"/>
      <c r="E32" s="102"/>
      <c r="F32" s="50" t="str">
        <f t="shared" si="0"/>
        <v/>
      </c>
      <c r="G32" s="50" t="str">
        <f t="shared" si="1"/>
        <v/>
      </c>
      <c r="H32" s="106"/>
      <c r="I32" s="106"/>
      <c r="J32" s="106"/>
      <c r="K32" s="106"/>
      <c r="L32" s="50" t="str">
        <f t="shared" si="2"/>
        <v/>
      </c>
      <c r="M32" s="50" t="str">
        <f t="shared" si="3"/>
        <v/>
      </c>
      <c r="N32" s="106"/>
      <c r="O32" s="106"/>
      <c r="P32" s="106"/>
      <c r="Q32" s="106"/>
      <c r="R32" s="50" t="str">
        <f t="shared" si="4"/>
        <v/>
      </c>
      <c r="S32" s="50" t="str">
        <f t="shared" si="5"/>
        <v/>
      </c>
      <c r="T32" s="106"/>
      <c r="U32" s="106"/>
      <c r="V32" s="106"/>
      <c r="W32" s="106"/>
      <c r="X32" s="50" t="str">
        <f t="shared" si="6"/>
        <v/>
      </c>
      <c r="Y32" s="50" t="str">
        <f t="shared" si="7"/>
        <v/>
      </c>
      <c r="Z32" s="106" t="s">
        <v>224</v>
      </c>
      <c r="AA32" s="106"/>
      <c r="AB32" s="104">
        <v>12</v>
      </c>
      <c r="AC32" s="104">
        <v>0.14000000000000001</v>
      </c>
      <c r="AD32" s="50">
        <f t="shared" si="8"/>
        <v>12</v>
      </c>
      <c r="AE32" s="50">
        <f t="shared" si="9"/>
        <v>85.714285714285708</v>
      </c>
      <c r="AF32" s="106"/>
      <c r="AG32" s="106"/>
      <c r="AH32" s="106"/>
      <c r="AI32" s="106"/>
      <c r="AJ32" s="50" t="str">
        <f t="shared" si="10"/>
        <v/>
      </c>
      <c r="AK32" s="50" t="str">
        <f t="shared" si="11"/>
        <v/>
      </c>
      <c r="AL32" s="106"/>
      <c r="AM32" s="106"/>
      <c r="AN32" s="106"/>
      <c r="AO32" s="106"/>
      <c r="AP32" s="50" t="str">
        <f t="shared" si="12"/>
        <v/>
      </c>
      <c r="AQ32" s="50" t="str">
        <f t="shared" si="13"/>
        <v/>
      </c>
      <c r="AR32" s="106"/>
      <c r="AS32" s="106"/>
      <c r="AT32" s="106"/>
      <c r="AU32" s="106"/>
      <c r="AV32" s="50" t="str">
        <f t="shared" si="14"/>
        <v/>
      </c>
      <c r="AW32" s="50" t="str">
        <f t="shared" si="15"/>
        <v/>
      </c>
      <c r="AX32" s="106"/>
      <c r="AY32" s="106"/>
      <c r="AZ32" s="106"/>
      <c r="BA32" s="106"/>
      <c r="BB32" s="50" t="str">
        <f t="shared" si="16"/>
        <v/>
      </c>
      <c r="BC32" s="50" t="str">
        <f t="shared" si="17"/>
        <v/>
      </c>
      <c r="BD32" s="106"/>
      <c r="BE32" s="106"/>
      <c r="BF32" s="106"/>
      <c r="BG32" s="106"/>
      <c r="BH32" s="50" t="str">
        <f t="shared" si="18"/>
        <v/>
      </c>
      <c r="BI32" s="50" t="str">
        <f t="shared" si="19"/>
        <v/>
      </c>
    </row>
    <row r="33" spans="2:61" x14ac:dyDescent="0.25">
      <c r="B33" s="100"/>
      <c r="C33" s="101"/>
      <c r="D33" s="102"/>
      <c r="E33" s="102"/>
      <c r="F33" s="50" t="str">
        <f t="shared" si="0"/>
        <v/>
      </c>
      <c r="G33" s="50" t="str">
        <f t="shared" si="1"/>
        <v/>
      </c>
      <c r="H33" s="106"/>
      <c r="I33" s="106"/>
      <c r="J33" s="106"/>
      <c r="K33" s="106"/>
      <c r="L33" s="50" t="str">
        <f t="shared" si="2"/>
        <v/>
      </c>
      <c r="M33" s="50" t="str">
        <f t="shared" si="3"/>
        <v/>
      </c>
      <c r="N33" s="106"/>
      <c r="O33" s="106"/>
      <c r="P33" s="106"/>
      <c r="Q33" s="106"/>
      <c r="R33" s="50" t="str">
        <f t="shared" si="4"/>
        <v/>
      </c>
      <c r="S33" s="50" t="str">
        <f t="shared" si="5"/>
        <v/>
      </c>
      <c r="T33" s="106"/>
      <c r="U33" s="106"/>
      <c r="V33" s="106"/>
      <c r="W33" s="106"/>
      <c r="X33" s="50" t="str">
        <f t="shared" si="6"/>
        <v/>
      </c>
      <c r="Y33" s="50" t="str">
        <f t="shared" si="7"/>
        <v/>
      </c>
      <c r="Z33" s="106" t="s">
        <v>225</v>
      </c>
      <c r="AA33" s="106"/>
      <c r="AB33" s="104">
        <v>11</v>
      </c>
      <c r="AC33" s="104">
        <v>0.14000000000000001</v>
      </c>
      <c r="AD33" s="50">
        <f t="shared" si="8"/>
        <v>11</v>
      </c>
      <c r="AE33" s="50">
        <f t="shared" si="9"/>
        <v>78.571428571428569</v>
      </c>
      <c r="AF33" s="106"/>
      <c r="AG33" s="106"/>
      <c r="AH33" s="106"/>
      <c r="AI33" s="106"/>
      <c r="AJ33" s="50" t="str">
        <f t="shared" si="10"/>
        <v/>
      </c>
      <c r="AK33" s="50" t="str">
        <f t="shared" si="11"/>
        <v/>
      </c>
      <c r="AL33" s="106"/>
      <c r="AM33" s="106"/>
      <c r="AN33" s="106"/>
      <c r="AO33" s="106"/>
      <c r="AP33" s="50" t="str">
        <f t="shared" si="12"/>
        <v/>
      </c>
      <c r="AQ33" s="50" t="str">
        <f t="shared" si="13"/>
        <v/>
      </c>
      <c r="AR33" s="106"/>
      <c r="AS33" s="106"/>
      <c r="AT33" s="106"/>
      <c r="AU33" s="106"/>
      <c r="AV33" s="50" t="str">
        <f t="shared" si="14"/>
        <v/>
      </c>
      <c r="AW33" s="50" t="str">
        <f t="shared" si="15"/>
        <v/>
      </c>
      <c r="AX33" s="106"/>
      <c r="AY33" s="106"/>
      <c r="AZ33" s="106"/>
      <c r="BA33" s="106"/>
      <c r="BB33" s="50" t="str">
        <f t="shared" si="16"/>
        <v/>
      </c>
      <c r="BC33" s="50" t="str">
        <f t="shared" si="17"/>
        <v/>
      </c>
      <c r="BD33" s="106"/>
      <c r="BE33" s="106"/>
      <c r="BF33" s="106"/>
      <c r="BG33" s="106"/>
      <c r="BH33" s="50" t="str">
        <f t="shared" si="18"/>
        <v/>
      </c>
      <c r="BI33" s="50" t="str">
        <f t="shared" si="19"/>
        <v/>
      </c>
    </row>
    <row r="34" spans="2:61" x14ac:dyDescent="0.25">
      <c r="B34" s="100"/>
      <c r="C34" s="101"/>
      <c r="D34" s="102"/>
      <c r="E34" s="102"/>
      <c r="F34" s="50" t="str">
        <f t="shared" si="0"/>
        <v/>
      </c>
      <c r="G34" s="50" t="str">
        <f t="shared" si="1"/>
        <v/>
      </c>
      <c r="H34" s="106"/>
      <c r="I34" s="106"/>
      <c r="J34" s="106"/>
      <c r="K34" s="106"/>
      <c r="L34" s="50" t="str">
        <f t="shared" si="2"/>
        <v/>
      </c>
      <c r="M34" s="50" t="str">
        <f t="shared" si="3"/>
        <v/>
      </c>
      <c r="N34" s="106"/>
      <c r="O34" s="106"/>
      <c r="P34" s="106"/>
      <c r="Q34" s="106"/>
      <c r="R34" s="50" t="str">
        <f t="shared" si="4"/>
        <v/>
      </c>
      <c r="S34" s="50" t="str">
        <f t="shared" si="5"/>
        <v/>
      </c>
      <c r="T34" s="106"/>
      <c r="U34" s="106"/>
      <c r="V34" s="106"/>
      <c r="W34" s="106"/>
      <c r="X34" s="50" t="str">
        <f t="shared" si="6"/>
        <v/>
      </c>
      <c r="Y34" s="50" t="str">
        <f t="shared" si="7"/>
        <v/>
      </c>
      <c r="Z34" s="106" t="s">
        <v>226</v>
      </c>
      <c r="AA34" s="106"/>
      <c r="AB34" s="106">
        <v>10</v>
      </c>
      <c r="AC34" s="104">
        <v>0.14000000000000001</v>
      </c>
      <c r="AD34" s="50">
        <f t="shared" si="8"/>
        <v>10</v>
      </c>
      <c r="AE34" s="50">
        <f t="shared" si="9"/>
        <v>71.428571428571416</v>
      </c>
      <c r="AF34" s="106"/>
      <c r="AG34" s="106"/>
      <c r="AH34" s="106"/>
      <c r="AI34" s="106"/>
      <c r="AJ34" s="50" t="str">
        <f t="shared" si="10"/>
        <v/>
      </c>
      <c r="AK34" s="50" t="str">
        <f t="shared" si="11"/>
        <v/>
      </c>
      <c r="AL34" s="106"/>
      <c r="AM34" s="106"/>
      <c r="AN34" s="106"/>
      <c r="AO34" s="106"/>
      <c r="AP34" s="50" t="str">
        <f t="shared" si="12"/>
        <v/>
      </c>
      <c r="AQ34" s="50" t="str">
        <f t="shared" si="13"/>
        <v/>
      </c>
      <c r="AR34" s="106"/>
      <c r="AS34" s="106"/>
      <c r="AT34" s="106"/>
      <c r="AU34" s="106"/>
      <c r="AV34" s="50" t="str">
        <f t="shared" si="14"/>
        <v/>
      </c>
      <c r="AW34" s="50" t="str">
        <f t="shared" si="15"/>
        <v/>
      </c>
      <c r="AX34" s="106"/>
      <c r="AY34" s="106"/>
      <c r="AZ34" s="106"/>
      <c r="BA34" s="106"/>
      <c r="BB34" s="50" t="str">
        <f t="shared" si="16"/>
        <v/>
      </c>
      <c r="BC34" s="50" t="str">
        <f t="shared" si="17"/>
        <v/>
      </c>
      <c r="BD34" s="106"/>
      <c r="BE34" s="106"/>
      <c r="BF34" s="106"/>
      <c r="BG34" s="106"/>
      <c r="BH34" s="50" t="str">
        <f t="shared" si="18"/>
        <v/>
      </c>
      <c r="BI34" s="50" t="str">
        <f t="shared" si="19"/>
        <v/>
      </c>
    </row>
    <row r="35" spans="2:61" x14ac:dyDescent="0.25">
      <c r="B35" s="100"/>
      <c r="C35" s="101"/>
      <c r="D35" s="102"/>
      <c r="E35" s="102"/>
      <c r="F35" s="50" t="str">
        <f t="shared" si="0"/>
        <v/>
      </c>
      <c r="G35" s="50" t="str">
        <f t="shared" si="1"/>
        <v/>
      </c>
      <c r="H35" s="106"/>
      <c r="I35" s="106"/>
      <c r="J35" s="106"/>
      <c r="K35" s="106"/>
      <c r="L35" s="50" t="str">
        <f t="shared" si="2"/>
        <v/>
      </c>
      <c r="M35" s="50" t="str">
        <f t="shared" si="3"/>
        <v/>
      </c>
      <c r="N35" s="106"/>
      <c r="O35" s="106"/>
      <c r="P35" s="106"/>
      <c r="Q35" s="106"/>
      <c r="R35" s="50" t="str">
        <f t="shared" si="4"/>
        <v/>
      </c>
      <c r="S35" s="50" t="str">
        <f t="shared" si="5"/>
        <v/>
      </c>
      <c r="T35" s="106"/>
      <c r="U35" s="106"/>
      <c r="V35" s="106"/>
      <c r="W35" s="106"/>
      <c r="X35" s="50" t="str">
        <f t="shared" si="6"/>
        <v/>
      </c>
      <c r="Y35" s="50" t="str">
        <f t="shared" si="7"/>
        <v/>
      </c>
      <c r="Z35" s="106" t="s">
        <v>227</v>
      </c>
      <c r="AA35" s="106"/>
      <c r="AB35" s="104">
        <v>4</v>
      </c>
      <c r="AC35" s="104">
        <v>0.14000000000000001</v>
      </c>
      <c r="AD35" s="50">
        <f t="shared" si="8"/>
        <v>4</v>
      </c>
      <c r="AE35" s="50">
        <f t="shared" si="9"/>
        <v>28.571428571428569</v>
      </c>
      <c r="AF35" s="106"/>
      <c r="AG35" s="106"/>
      <c r="AH35" s="106"/>
      <c r="AI35" s="106"/>
      <c r="AJ35" s="50" t="str">
        <f t="shared" si="10"/>
        <v/>
      </c>
      <c r="AK35" s="50" t="str">
        <f t="shared" si="11"/>
        <v/>
      </c>
      <c r="AL35" s="106"/>
      <c r="AM35" s="106"/>
      <c r="AN35" s="106"/>
      <c r="AO35" s="106"/>
      <c r="AP35" s="50" t="str">
        <f t="shared" si="12"/>
        <v/>
      </c>
      <c r="AQ35" s="50" t="str">
        <f t="shared" si="13"/>
        <v/>
      </c>
      <c r="AR35" s="106"/>
      <c r="AS35" s="106"/>
      <c r="AT35" s="106"/>
      <c r="AU35" s="106"/>
      <c r="AV35" s="50" t="str">
        <f t="shared" si="14"/>
        <v/>
      </c>
      <c r="AW35" s="50" t="str">
        <f t="shared" si="15"/>
        <v/>
      </c>
      <c r="AX35" s="106"/>
      <c r="AY35" s="106"/>
      <c r="AZ35" s="106"/>
      <c r="BA35" s="106"/>
      <c r="BB35" s="50" t="str">
        <f t="shared" si="16"/>
        <v/>
      </c>
      <c r="BC35" s="50" t="str">
        <f t="shared" si="17"/>
        <v/>
      </c>
      <c r="BD35" s="106"/>
      <c r="BE35" s="106"/>
      <c r="BF35" s="106"/>
      <c r="BG35" s="106"/>
      <c r="BH35" s="50" t="str">
        <f t="shared" si="18"/>
        <v/>
      </c>
      <c r="BI35" s="50" t="str">
        <f t="shared" si="19"/>
        <v/>
      </c>
    </row>
    <row r="36" spans="2:61" x14ac:dyDescent="0.25">
      <c r="B36" s="100"/>
      <c r="C36" s="101"/>
      <c r="D36" s="102"/>
      <c r="E36" s="102"/>
      <c r="F36" s="50" t="str">
        <f t="shared" si="0"/>
        <v/>
      </c>
      <c r="G36" s="50" t="str">
        <f t="shared" si="1"/>
        <v/>
      </c>
      <c r="H36" s="106"/>
      <c r="I36" s="106"/>
      <c r="J36" s="106"/>
      <c r="K36" s="106"/>
      <c r="L36" s="50" t="str">
        <f t="shared" si="2"/>
        <v/>
      </c>
      <c r="M36" s="50" t="str">
        <f t="shared" si="3"/>
        <v/>
      </c>
      <c r="N36" s="106"/>
      <c r="O36" s="106"/>
      <c r="P36" s="106"/>
      <c r="Q36" s="106"/>
      <c r="R36" s="50" t="str">
        <f t="shared" si="4"/>
        <v/>
      </c>
      <c r="S36" s="50" t="str">
        <f t="shared" si="5"/>
        <v/>
      </c>
      <c r="T36" s="106"/>
      <c r="U36" s="106"/>
      <c r="V36" s="106"/>
      <c r="W36" s="106"/>
      <c r="X36" s="50" t="str">
        <f t="shared" si="6"/>
        <v/>
      </c>
      <c r="Y36" s="50" t="str">
        <f t="shared" si="7"/>
        <v/>
      </c>
      <c r="Z36" s="106" t="s">
        <v>228</v>
      </c>
      <c r="AA36" s="106"/>
      <c r="AB36" s="104">
        <v>3</v>
      </c>
      <c r="AC36" s="104">
        <v>0.14000000000000001</v>
      </c>
      <c r="AD36" s="50">
        <f t="shared" si="8"/>
        <v>3</v>
      </c>
      <c r="AE36" s="50">
        <f t="shared" si="9"/>
        <v>21.428571428571427</v>
      </c>
      <c r="AF36" s="106"/>
      <c r="AG36" s="106"/>
      <c r="AH36" s="106"/>
      <c r="AI36" s="106"/>
      <c r="AJ36" s="50" t="str">
        <f t="shared" si="10"/>
        <v/>
      </c>
      <c r="AK36" s="50" t="str">
        <f t="shared" si="11"/>
        <v/>
      </c>
      <c r="AL36" s="106"/>
      <c r="AM36" s="106"/>
      <c r="AN36" s="106"/>
      <c r="AO36" s="106"/>
      <c r="AP36" s="50" t="str">
        <f t="shared" si="12"/>
        <v/>
      </c>
      <c r="AQ36" s="50" t="str">
        <f t="shared" si="13"/>
        <v/>
      </c>
      <c r="AR36" s="106"/>
      <c r="AS36" s="106"/>
      <c r="AT36" s="106"/>
      <c r="AU36" s="106"/>
      <c r="AV36" s="50" t="str">
        <f t="shared" si="14"/>
        <v/>
      </c>
      <c r="AW36" s="50" t="str">
        <f t="shared" si="15"/>
        <v/>
      </c>
      <c r="AX36" s="106"/>
      <c r="AY36" s="106"/>
      <c r="AZ36" s="106"/>
      <c r="BA36" s="106"/>
      <c r="BB36" s="50" t="str">
        <f t="shared" si="16"/>
        <v/>
      </c>
      <c r="BC36" s="50" t="str">
        <f t="shared" si="17"/>
        <v/>
      </c>
      <c r="BD36" s="106"/>
      <c r="BE36" s="106"/>
      <c r="BF36" s="106"/>
      <c r="BG36" s="106"/>
      <c r="BH36" s="50" t="str">
        <f t="shared" si="18"/>
        <v/>
      </c>
      <c r="BI36" s="50" t="str">
        <f t="shared" si="19"/>
        <v/>
      </c>
    </row>
    <row r="37" spans="2:61" x14ac:dyDescent="0.25">
      <c r="B37" s="100"/>
      <c r="C37" s="101"/>
      <c r="D37" s="102"/>
      <c r="E37" s="102"/>
      <c r="F37" s="50" t="str">
        <f t="shared" si="0"/>
        <v/>
      </c>
      <c r="G37" s="50" t="str">
        <f t="shared" si="1"/>
        <v/>
      </c>
      <c r="H37" s="106"/>
      <c r="I37" s="106"/>
      <c r="J37" s="106"/>
      <c r="K37" s="106"/>
      <c r="L37" s="50" t="str">
        <f t="shared" si="2"/>
        <v/>
      </c>
      <c r="M37" s="50" t="str">
        <f t="shared" si="3"/>
        <v/>
      </c>
      <c r="N37" s="106"/>
      <c r="O37" s="106"/>
      <c r="P37" s="106"/>
      <c r="Q37" s="106"/>
      <c r="R37" s="50" t="str">
        <f t="shared" si="4"/>
        <v/>
      </c>
      <c r="S37" s="50" t="str">
        <f t="shared" si="5"/>
        <v/>
      </c>
      <c r="T37" s="106"/>
      <c r="U37" s="106"/>
      <c r="V37" s="106"/>
      <c r="W37" s="106"/>
      <c r="X37" s="50" t="str">
        <f t="shared" si="6"/>
        <v/>
      </c>
      <c r="Y37" s="50" t="str">
        <f t="shared" si="7"/>
        <v/>
      </c>
      <c r="Z37" s="106" t="s">
        <v>229</v>
      </c>
      <c r="AA37" s="106"/>
      <c r="AB37" s="104">
        <v>12</v>
      </c>
      <c r="AC37" s="104">
        <v>0.14000000000000001</v>
      </c>
      <c r="AD37" s="50">
        <f t="shared" si="8"/>
        <v>12</v>
      </c>
      <c r="AE37" s="50">
        <f t="shared" si="9"/>
        <v>85.714285714285708</v>
      </c>
      <c r="AF37" s="106"/>
      <c r="AG37" s="106"/>
      <c r="AH37" s="106"/>
      <c r="AI37" s="106"/>
      <c r="AJ37" s="50" t="str">
        <f t="shared" si="10"/>
        <v/>
      </c>
      <c r="AK37" s="50" t="str">
        <f t="shared" si="11"/>
        <v/>
      </c>
      <c r="AL37" s="106"/>
      <c r="AM37" s="106"/>
      <c r="AN37" s="106"/>
      <c r="AO37" s="106"/>
      <c r="AP37" s="50" t="str">
        <f t="shared" si="12"/>
        <v/>
      </c>
      <c r="AQ37" s="50" t="str">
        <f t="shared" si="13"/>
        <v/>
      </c>
      <c r="AR37" s="106"/>
      <c r="AS37" s="106"/>
      <c r="AT37" s="106"/>
      <c r="AU37" s="106"/>
      <c r="AV37" s="50" t="str">
        <f t="shared" si="14"/>
        <v/>
      </c>
      <c r="AW37" s="50" t="str">
        <f t="shared" si="15"/>
        <v/>
      </c>
      <c r="AX37" s="106"/>
      <c r="AY37" s="106"/>
      <c r="AZ37" s="106"/>
      <c r="BA37" s="106"/>
      <c r="BB37" s="50" t="str">
        <f t="shared" si="16"/>
        <v/>
      </c>
      <c r="BC37" s="50" t="str">
        <f t="shared" si="17"/>
        <v/>
      </c>
      <c r="BD37" s="106"/>
      <c r="BE37" s="106"/>
      <c r="BF37" s="106"/>
      <c r="BG37" s="106"/>
      <c r="BH37" s="50" t="str">
        <f t="shared" si="18"/>
        <v/>
      </c>
      <c r="BI37" s="50" t="str">
        <f t="shared" si="19"/>
        <v/>
      </c>
    </row>
    <row r="38" spans="2:61" x14ac:dyDescent="0.25">
      <c r="B38" s="100"/>
      <c r="C38" s="101"/>
      <c r="D38" s="102"/>
      <c r="E38" s="102"/>
      <c r="F38" s="50" t="str">
        <f t="shared" si="0"/>
        <v/>
      </c>
      <c r="G38" s="50" t="str">
        <f t="shared" si="1"/>
        <v/>
      </c>
      <c r="H38" s="106"/>
      <c r="I38" s="106"/>
      <c r="J38" s="106"/>
      <c r="K38" s="106"/>
      <c r="L38" s="50" t="str">
        <f t="shared" si="2"/>
        <v/>
      </c>
      <c r="M38" s="50" t="str">
        <f t="shared" si="3"/>
        <v/>
      </c>
      <c r="N38" s="106"/>
      <c r="O38" s="106"/>
      <c r="P38" s="106"/>
      <c r="Q38" s="106"/>
      <c r="R38" s="50" t="str">
        <f t="shared" si="4"/>
        <v/>
      </c>
      <c r="S38" s="50" t="str">
        <f t="shared" si="5"/>
        <v/>
      </c>
      <c r="T38" s="106"/>
      <c r="U38" s="106"/>
      <c r="V38" s="106"/>
      <c r="W38" s="106"/>
      <c r="X38" s="50" t="str">
        <f t="shared" si="6"/>
        <v/>
      </c>
      <c r="Y38" s="50" t="str">
        <f t="shared" si="7"/>
        <v/>
      </c>
      <c r="Z38" s="106" t="s">
        <v>230</v>
      </c>
      <c r="AA38" s="106"/>
      <c r="AB38" s="106">
        <v>13</v>
      </c>
      <c r="AC38" s="104">
        <v>0.14000000000000001</v>
      </c>
      <c r="AD38" s="50">
        <f t="shared" si="8"/>
        <v>13</v>
      </c>
      <c r="AE38" s="50">
        <f t="shared" si="9"/>
        <v>92.857142857142847</v>
      </c>
      <c r="AF38" s="106"/>
      <c r="AG38" s="106"/>
      <c r="AH38" s="106"/>
      <c r="AI38" s="106"/>
      <c r="AJ38" s="50" t="str">
        <f t="shared" si="10"/>
        <v/>
      </c>
      <c r="AK38" s="50" t="str">
        <f t="shared" si="11"/>
        <v/>
      </c>
      <c r="AL38" s="106"/>
      <c r="AM38" s="106"/>
      <c r="AN38" s="106"/>
      <c r="AO38" s="106"/>
      <c r="AP38" s="50" t="str">
        <f t="shared" si="12"/>
        <v/>
      </c>
      <c r="AQ38" s="50" t="str">
        <f t="shared" si="13"/>
        <v/>
      </c>
      <c r="AR38" s="106"/>
      <c r="AS38" s="106"/>
      <c r="AT38" s="106"/>
      <c r="AU38" s="106"/>
      <c r="AV38" s="50" t="str">
        <f t="shared" si="14"/>
        <v/>
      </c>
      <c r="AW38" s="50" t="str">
        <f t="shared" si="15"/>
        <v/>
      </c>
      <c r="AX38" s="106"/>
      <c r="AY38" s="106"/>
      <c r="AZ38" s="106"/>
      <c r="BA38" s="106"/>
      <c r="BB38" s="50" t="str">
        <f t="shared" si="16"/>
        <v/>
      </c>
      <c r="BC38" s="50" t="str">
        <f t="shared" si="17"/>
        <v/>
      </c>
      <c r="BD38" s="106"/>
      <c r="BE38" s="106"/>
      <c r="BF38" s="106"/>
      <c r="BG38" s="106"/>
      <c r="BH38" s="50" t="str">
        <f t="shared" si="18"/>
        <v/>
      </c>
      <c r="BI38" s="50" t="str">
        <f t="shared" si="19"/>
        <v/>
      </c>
    </row>
    <row r="39" spans="2:61" x14ac:dyDescent="0.25">
      <c r="B39" s="100"/>
      <c r="C39" s="101"/>
      <c r="D39" s="102"/>
      <c r="E39" s="102"/>
      <c r="F39" s="50" t="str">
        <f t="shared" si="0"/>
        <v/>
      </c>
      <c r="G39" s="50" t="str">
        <f t="shared" si="1"/>
        <v/>
      </c>
      <c r="H39" s="106"/>
      <c r="I39" s="106"/>
      <c r="J39" s="106"/>
      <c r="K39" s="106"/>
      <c r="L39" s="50" t="str">
        <f t="shared" si="2"/>
        <v/>
      </c>
      <c r="M39" s="50" t="str">
        <f t="shared" si="3"/>
        <v/>
      </c>
      <c r="N39" s="106"/>
      <c r="O39" s="106"/>
      <c r="P39" s="106"/>
      <c r="Q39" s="106"/>
      <c r="R39" s="50" t="str">
        <f t="shared" si="4"/>
        <v/>
      </c>
      <c r="S39" s="50" t="str">
        <f t="shared" si="5"/>
        <v/>
      </c>
      <c r="T39" s="106"/>
      <c r="U39" s="106"/>
      <c r="V39" s="106"/>
      <c r="W39" s="106"/>
      <c r="X39" s="50" t="str">
        <f t="shared" si="6"/>
        <v/>
      </c>
      <c r="Y39" s="50" t="str">
        <f t="shared" si="7"/>
        <v/>
      </c>
      <c r="Z39" s="100" t="s">
        <v>236</v>
      </c>
      <c r="AA39" s="101">
        <v>0.05</v>
      </c>
      <c r="AB39" s="104">
        <v>5</v>
      </c>
      <c r="AC39" s="104">
        <v>0.14000000000000001</v>
      </c>
      <c r="AD39" s="50">
        <f t="shared" si="8"/>
        <v>5</v>
      </c>
      <c r="AE39" s="50">
        <f t="shared" si="9"/>
        <v>35.714285714285708</v>
      </c>
      <c r="AF39" s="106"/>
      <c r="AG39" s="106"/>
      <c r="AH39" s="106"/>
      <c r="AI39" s="106"/>
      <c r="AJ39" s="50" t="str">
        <f t="shared" si="10"/>
        <v/>
      </c>
      <c r="AK39" s="50" t="str">
        <f t="shared" si="11"/>
        <v/>
      </c>
      <c r="AL39" s="106"/>
      <c r="AM39" s="106"/>
      <c r="AN39" s="106"/>
      <c r="AO39" s="106"/>
      <c r="AP39" s="50" t="str">
        <f t="shared" si="12"/>
        <v/>
      </c>
      <c r="AQ39" s="50" t="str">
        <f t="shared" si="13"/>
        <v/>
      </c>
      <c r="AR39" s="106"/>
      <c r="AS39" s="106"/>
      <c r="AT39" s="106"/>
      <c r="AU39" s="106"/>
      <c r="AV39" s="50" t="str">
        <f t="shared" si="14"/>
        <v/>
      </c>
      <c r="AW39" s="50" t="str">
        <f t="shared" si="15"/>
        <v/>
      </c>
      <c r="AX39" s="106"/>
      <c r="AY39" s="106"/>
      <c r="AZ39" s="106"/>
      <c r="BA39" s="106"/>
      <c r="BB39" s="50" t="str">
        <f t="shared" si="16"/>
        <v/>
      </c>
      <c r="BC39" s="50" t="str">
        <f t="shared" si="17"/>
        <v/>
      </c>
      <c r="BD39" s="106"/>
      <c r="BE39" s="106"/>
      <c r="BF39" s="106"/>
      <c r="BG39" s="106"/>
      <c r="BH39" s="50" t="str">
        <f t="shared" si="18"/>
        <v/>
      </c>
      <c r="BI39" s="50" t="str">
        <f t="shared" si="19"/>
        <v/>
      </c>
    </row>
    <row r="40" spans="2:61" x14ac:dyDescent="0.25">
      <c r="B40" s="100"/>
      <c r="C40" s="101"/>
      <c r="D40" s="102"/>
      <c r="E40" s="102"/>
      <c r="F40" s="50" t="str">
        <f t="shared" si="0"/>
        <v/>
      </c>
      <c r="G40" s="50" t="str">
        <f t="shared" si="1"/>
        <v/>
      </c>
      <c r="H40" s="106"/>
      <c r="I40" s="106"/>
      <c r="J40" s="106"/>
      <c r="K40" s="106"/>
      <c r="L40" s="50" t="str">
        <f t="shared" si="2"/>
        <v/>
      </c>
      <c r="M40" s="50" t="str">
        <f t="shared" si="3"/>
        <v/>
      </c>
      <c r="N40" s="106"/>
      <c r="O40" s="106"/>
      <c r="P40" s="106"/>
      <c r="Q40" s="106"/>
      <c r="R40" s="50" t="str">
        <f t="shared" si="4"/>
        <v/>
      </c>
      <c r="S40" s="50" t="str">
        <f t="shared" si="5"/>
        <v/>
      </c>
      <c r="T40" s="106"/>
      <c r="U40" s="106"/>
      <c r="V40" s="106"/>
      <c r="W40" s="106"/>
      <c r="X40" s="50" t="str">
        <f t="shared" si="6"/>
        <v/>
      </c>
      <c r="Y40" s="50" t="str">
        <f t="shared" si="7"/>
        <v/>
      </c>
      <c r="Z40" s="100" t="s">
        <v>235</v>
      </c>
      <c r="AA40" s="101">
        <v>0.1</v>
      </c>
      <c r="AB40" s="104">
        <v>5</v>
      </c>
      <c r="AC40" s="104">
        <v>0.14000000000000001</v>
      </c>
      <c r="AD40" s="50">
        <f t="shared" si="8"/>
        <v>5</v>
      </c>
      <c r="AE40" s="50">
        <f t="shared" si="9"/>
        <v>35.714285714285708</v>
      </c>
      <c r="AF40" s="106"/>
      <c r="AG40" s="106"/>
      <c r="AH40" s="106"/>
      <c r="AI40" s="106"/>
      <c r="AJ40" s="50" t="str">
        <f t="shared" si="10"/>
        <v/>
      </c>
      <c r="AK40" s="50" t="str">
        <f t="shared" si="11"/>
        <v/>
      </c>
      <c r="AL40" s="106"/>
      <c r="AM40" s="106"/>
      <c r="AN40" s="106"/>
      <c r="AO40" s="106"/>
      <c r="AP40" s="50" t="str">
        <f t="shared" si="12"/>
        <v/>
      </c>
      <c r="AQ40" s="50" t="str">
        <f t="shared" si="13"/>
        <v/>
      </c>
      <c r="AR40" s="106"/>
      <c r="AS40" s="106"/>
      <c r="AT40" s="106"/>
      <c r="AU40" s="106"/>
      <c r="AV40" s="50" t="str">
        <f t="shared" si="14"/>
        <v/>
      </c>
      <c r="AW40" s="50" t="str">
        <f t="shared" si="15"/>
        <v/>
      </c>
      <c r="AX40" s="106"/>
      <c r="AY40" s="106"/>
      <c r="AZ40" s="106"/>
      <c r="BA40" s="106"/>
      <c r="BB40" s="50" t="str">
        <f t="shared" si="16"/>
        <v/>
      </c>
      <c r="BC40" s="50" t="str">
        <f t="shared" si="17"/>
        <v/>
      </c>
      <c r="BD40" s="106"/>
      <c r="BE40" s="106"/>
      <c r="BF40" s="106"/>
      <c r="BG40" s="106"/>
      <c r="BH40" s="50" t="str">
        <f t="shared" si="18"/>
        <v/>
      </c>
      <c r="BI40" s="50" t="str">
        <f t="shared" si="19"/>
        <v/>
      </c>
    </row>
    <row r="41" spans="2:61" x14ac:dyDescent="0.25">
      <c r="B41" s="100"/>
      <c r="C41" s="101"/>
      <c r="D41" s="102"/>
      <c r="E41" s="102"/>
      <c r="F41" s="50" t="str">
        <f t="shared" si="0"/>
        <v/>
      </c>
      <c r="G41" s="50" t="str">
        <f t="shared" si="1"/>
        <v/>
      </c>
      <c r="H41" s="106"/>
      <c r="I41" s="106"/>
      <c r="J41" s="106"/>
      <c r="K41" s="106"/>
      <c r="L41" s="50" t="str">
        <f t="shared" si="2"/>
        <v/>
      </c>
      <c r="M41" s="50" t="str">
        <f t="shared" si="3"/>
        <v/>
      </c>
      <c r="N41" s="106"/>
      <c r="O41" s="106"/>
      <c r="P41" s="106"/>
      <c r="Q41" s="106"/>
      <c r="R41" s="50" t="str">
        <f t="shared" si="4"/>
        <v/>
      </c>
      <c r="S41" s="50" t="str">
        <f t="shared" si="5"/>
        <v/>
      </c>
      <c r="T41" s="106"/>
      <c r="U41" s="106"/>
      <c r="V41" s="106"/>
      <c r="W41" s="106"/>
      <c r="X41" s="50" t="str">
        <f t="shared" si="6"/>
        <v/>
      </c>
      <c r="Y41" s="50" t="str">
        <f t="shared" si="7"/>
        <v/>
      </c>
      <c r="Z41" s="100" t="s">
        <v>145</v>
      </c>
      <c r="AA41" s="106"/>
      <c r="AB41" s="106">
        <v>5</v>
      </c>
      <c r="AC41" s="104">
        <v>0.14000000000000001</v>
      </c>
      <c r="AD41" s="50">
        <f t="shared" si="8"/>
        <v>5</v>
      </c>
      <c r="AE41" s="50">
        <f t="shared" si="9"/>
        <v>35.714285714285708</v>
      </c>
      <c r="AF41" s="106"/>
      <c r="AG41" s="106"/>
      <c r="AH41" s="106"/>
      <c r="AI41" s="106"/>
      <c r="AJ41" s="50" t="str">
        <f t="shared" si="10"/>
        <v/>
      </c>
      <c r="AK41" s="50" t="str">
        <f t="shared" si="11"/>
        <v/>
      </c>
      <c r="AL41" s="106"/>
      <c r="AM41" s="106"/>
      <c r="AN41" s="106"/>
      <c r="AO41" s="106"/>
      <c r="AP41" s="50" t="str">
        <f t="shared" si="12"/>
        <v/>
      </c>
      <c r="AQ41" s="50" t="str">
        <f t="shared" si="13"/>
        <v/>
      </c>
      <c r="AR41" s="106"/>
      <c r="AS41" s="106"/>
      <c r="AT41" s="106"/>
      <c r="AU41" s="106"/>
      <c r="AV41" s="50" t="str">
        <f t="shared" si="14"/>
        <v/>
      </c>
      <c r="AW41" s="50" t="str">
        <f t="shared" si="15"/>
        <v/>
      </c>
      <c r="AX41" s="106"/>
      <c r="AY41" s="106"/>
      <c r="AZ41" s="106"/>
      <c r="BA41" s="106"/>
      <c r="BB41" s="50" t="str">
        <f t="shared" si="16"/>
        <v/>
      </c>
      <c r="BC41" s="50" t="str">
        <f t="shared" si="17"/>
        <v/>
      </c>
      <c r="BD41" s="106"/>
      <c r="BE41" s="106"/>
      <c r="BF41" s="106"/>
      <c r="BG41" s="106"/>
      <c r="BH41" s="50" t="str">
        <f t="shared" si="18"/>
        <v/>
      </c>
      <c r="BI41" s="50" t="str">
        <f t="shared" si="19"/>
        <v/>
      </c>
    </row>
    <row r="42" spans="2:61" x14ac:dyDescent="0.25">
      <c r="B42" s="100"/>
      <c r="C42" s="101"/>
      <c r="D42" s="102"/>
      <c r="E42" s="102"/>
      <c r="F42" s="50" t="str">
        <f t="shared" si="0"/>
        <v/>
      </c>
      <c r="G42" s="50" t="str">
        <f t="shared" si="1"/>
        <v/>
      </c>
      <c r="H42" s="106"/>
      <c r="I42" s="106"/>
      <c r="J42" s="106"/>
      <c r="K42" s="106"/>
      <c r="L42" s="50" t="str">
        <f t="shared" si="2"/>
        <v/>
      </c>
      <c r="M42" s="50" t="str">
        <f t="shared" si="3"/>
        <v/>
      </c>
      <c r="N42" s="106"/>
      <c r="O42" s="106"/>
      <c r="P42" s="106"/>
      <c r="Q42" s="106"/>
      <c r="R42" s="50" t="str">
        <f t="shared" si="4"/>
        <v/>
      </c>
      <c r="S42" s="50" t="str">
        <f t="shared" si="5"/>
        <v/>
      </c>
      <c r="T42" s="106"/>
      <c r="U42" s="106"/>
      <c r="V42" s="106"/>
      <c r="W42" s="106"/>
      <c r="X42" s="50" t="str">
        <f t="shared" si="6"/>
        <v/>
      </c>
      <c r="Y42" s="50" t="str">
        <f t="shared" si="7"/>
        <v/>
      </c>
      <c r="Z42" s="106"/>
      <c r="AA42" s="106"/>
      <c r="AB42" s="104"/>
      <c r="AC42" s="104"/>
      <c r="AD42" s="50" t="str">
        <f t="shared" si="8"/>
        <v/>
      </c>
      <c r="AE42" s="50" t="str">
        <f t="shared" si="9"/>
        <v/>
      </c>
      <c r="AF42" s="106"/>
      <c r="AG42" s="106"/>
      <c r="AH42" s="106"/>
      <c r="AI42" s="106"/>
      <c r="AJ42" s="50" t="str">
        <f t="shared" si="10"/>
        <v/>
      </c>
      <c r="AK42" s="50" t="str">
        <f t="shared" si="11"/>
        <v/>
      </c>
      <c r="AL42" s="106"/>
      <c r="AM42" s="106"/>
      <c r="AN42" s="106"/>
      <c r="AO42" s="106"/>
      <c r="AP42" s="50" t="str">
        <f t="shared" si="12"/>
        <v/>
      </c>
      <c r="AQ42" s="50" t="str">
        <f t="shared" si="13"/>
        <v/>
      </c>
      <c r="AR42" s="106"/>
      <c r="AS42" s="106"/>
      <c r="AT42" s="106"/>
      <c r="AU42" s="106"/>
      <c r="AV42" s="50" t="str">
        <f t="shared" si="14"/>
        <v/>
      </c>
      <c r="AW42" s="50" t="str">
        <f t="shared" si="15"/>
        <v/>
      </c>
      <c r="AX42" s="106"/>
      <c r="AY42" s="106"/>
      <c r="AZ42" s="106"/>
      <c r="BA42" s="106"/>
      <c r="BB42" s="50" t="str">
        <f t="shared" si="16"/>
        <v/>
      </c>
      <c r="BC42" s="50" t="str">
        <f t="shared" si="17"/>
        <v/>
      </c>
      <c r="BD42" s="106"/>
      <c r="BE42" s="106"/>
      <c r="BF42" s="106"/>
      <c r="BG42" s="106"/>
      <c r="BH42" s="50" t="str">
        <f t="shared" si="18"/>
        <v/>
      </c>
      <c r="BI42" s="50" t="str">
        <f t="shared" si="19"/>
        <v/>
      </c>
    </row>
    <row r="43" spans="2:61" x14ac:dyDescent="0.25">
      <c r="B43" s="100"/>
      <c r="C43" s="101"/>
      <c r="D43" s="102"/>
      <c r="E43" s="102"/>
      <c r="F43" s="50" t="str">
        <f t="shared" si="0"/>
        <v/>
      </c>
      <c r="G43" s="50" t="str">
        <f t="shared" si="1"/>
        <v/>
      </c>
      <c r="H43" s="106"/>
      <c r="I43" s="106"/>
      <c r="J43" s="106"/>
      <c r="K43" s="106"/>
      <c r="L43" s="50" t="str">
        <f t="shared" si="2"/>
        <v/>
      </c>
      <c r="M43" s="50" t="str">
        <f t="shared" si="3"/>
        <v/>
      </c>
      <c r="N43" s="106"/>
      <c r="O43" s="106"/>
      <c r="P43" s="106"/>
      <c r="Q43" s="106"/>
      <c r="R43" s="50" t="str">
        <f t="shared" si="4"/>
        <v/>
      </c>
      <c r="S43" s="50" t="str">
        <f t="shared" si="5"/>
        <v/>
      </c>
      <c r="T43" s="106"/>
      <c r="U43" s="106"/>
      <c r="V43" s="106"/>
      <c r="W43" s="106"/>
      <c r="X43" s="50" t="str">
        <f t="shared" si="6"/>
        <v/>
      </c>
      <c r="Y43" s="50" t="str">
        <f t="shared" si="7"/>
        <v/>
      </c>
      <c r="Z43" s="106"/>
      <c r="AA43" s="106"/>
      <c r="AB43" s="104"/>
      <c r="AC43" s="104"/>
      <c r="AD43" s="50" t="str">
        <f t="shared" si="8"/>
        <v/>
      </c>
      <c r="AE43" s="50" t="str">
        <f t="shared" si="9"/>
        <v/>
      </c>
      <c r="AF43" s="106"/>
      <c r="AG43" s="106"/>
      <c r="AH43" s="106"/>
      <c r="AI43" s="106"/>
      <c r="AJ43" s="50" t="str">
        <f t="shared" si="10"/>
        <v/>
      </c>
      <c r="AK43" s="50" t="str">
        <f t="shared" si="11"/>
        <v/>
      </c>
      <c r="AL43" s="106"/>
      <c r="AM43" s="106"/>
      <c r="AN43" s="106"/>
      <c r="AO43" s="106"/>
      <c r="AP43" s="50" t="str">
        <f t="shared" si="12"/>
        <v/>
      </c>
      <c r="AQ43" s="50" t="str">
        <f t="shared" si="13"/>
        <v/>
      </c>
      <c r="AR43" s="106"/>
      <c r="AS43" s="106"/>
      <c r="AT43" s="106"/>
      <c r="AU43" s="106"/>
      <c r="AV43" s="50" t="str">
        <f t="shared" si="14"/>
        <v/>
      </c>
      <c r="AW43" s="50" t="str">
        <f t="shared" si="15"/>
        <v/>
      </c>
      <c r="AX43" s="106"/>
      <c r="AY43" s="106"/>
      <c r="AZ43" s="106"/>
      <c r="BA43" s="106"/>
      <c r="BB43" s="50" t="str">
        <f t="shared" si="16"/>
        <v/>
      </c>
      <c r="BC43" s="50" t="str">
        <f t="shared" si="17"/>
        <v/>
      </c>
      <c r="BD43" s="106"/>
      <c r="BE43" s="106"/>
      <c r="BF43" s="106"/>
      <c r="BG43" s="106"/>
      <c r="BH43" s="50" t="str">
        <f t="shared" si="18"/>
        <v/>
      </c>
      <c r="BI43" s="50" t="str">
        <f t="shared" si="19"/>
        <v/>
      </c>
    </row>
    <row r="44" spans="2:61" x14ac:dyDescent="0.25">
      <c r="B44" s="100"/>
      <c r="C44" s="101"/>
      <c r="D44" s="102"/>
      <c r="E44" s="102"/>
      <c r="F44" s="50" t="str">
        <f t="shared" si="0"/>
        <v/>
      </c>
      <c r="G44" s="50" t="str">
        <f t="shared" si="1"/>
        <v/>
      </c>
      <c r="H44" s="106"/>
      <c r="I44" s="106"/>
      <c r="J44" s="106"/>
      <c r="K44" s="106"/>
      <c r="L44" s="50" t="str">
        <f t="shared" si="2"/>
        <v/>
      </c>
      <c r="M44" s="50" t="str">
        <f t="shared" si="3"/>
        <v/>
      </c>
      <c r="N44" s="106"/>
      <c r="O44" s="106"/>
      <c r="P44" s="106"/>
      <c r="Q44" s="106"/>
      <c r="R44" s="50" t="str">
        <f t="shared" si="4"/>
        <v/>
      </c>
      <c r="S44" s="50" t="str">
        <f t="shared" si="5"/>
        <v/>
      </c>
      <c r="T44" s="106"/>
      <c r="U44" s="106"/>
      <c r="V44" s="106"/>
      <c r="W44" s="106"/>
      <c r="X44" s="50" t="str">
        <f t="shared" si="6"/>
        <v/>
      </c>
      <c r="Y44" s="50" t="str">
        <f t="shared" si="7"/>
        <v/>
      </c>
      <c r="Z44" s="106"/>
      <c r="AA44" s="106"/>
      <c r="AB44" s="104"/>
      <c r="AC44" s="104"/>
      <c r="AD44" s="50" t="str">
        <f t="shared" si="8"/>
        <v/>
      </c>
      <c r="AE44" s="50" t="str">
        <f t="shared" si="9"/>
        <v/>
      </c>
      <c r="AF44" s="106"/>
      <c r="AG44" s="106"/>
      <c r="AH44" s="106"/>
      <c r="AI44" s="106"/>
      <c r="AJ44" s="50" t="str">
        <f t="shared" si="10"/>
        <v/>
      </c>
      <c r="AK44" s="50" t="str">
        <f t="shared" si="11"/>
        <v/>
      </c>
      <c r="AL44" s="106"/>
      <c r="AM44" s="106"/>
      <c r="AN44" s="106"/>
      <c r="AO44" s="106"/>
      <c r="AP44" s="50" t="str">
        <f t="shared" si="12"/>
        <v/>
      </c>
      <c r="AQ44" s="50" t="str">
        <f t="shared" si="13"/>
        <v/>
      </c>
      <c r="AR44" s="106"/>
      <c r="AS44" s="106"/>
      <c r="AT44" s="106"/>
      <c r="AU44" s="106"/>
      <c r="AV44" s="50" t="str">
        <f t="shared" si="14"/>
        <v/>
      </c>
      <c r="AW44" s="50" t="str">
        <f t="shared" si="15"/>
        <v/>
      </c>
      <c r="AX44" s="106"/>
      <c r="AY44" s="106"/>
      <c r="AZ44" s="106"/>
      <c r="BA44" s="106"/>
      <c r="BB44" s="50" t="str">
        <f t="shared" si="16"/>
        <v/>
      </c>
      <c r="BC44" s="50" t="str">
        <f t="shared" si="17"/>
        <v/>
      </c>
      <c r="BD44" s="106"/>
      <c r="BE44" s="106"/>
      <c r="BF44" s="106"/>
      <c r="BG44" s="106"/>
      <c r="BH44" s="50" t="str">
        <f t="shared" si="18"/>
        <v/>
      </c>
      <c r="BI44" s="50" t="str">
        <f t="shared" si="19"/>
        <v/>
      </c>
    </row>
    <row r="45" spans="2:61" x14ac:dyDescent="0.25">
      <c r="B45" s="100"/>
      <c r="C45" s="101"/>
      <c r="D45" s="102"/>
      <c r="E45" s="102"/>
      <c r="F45" s="50" t="str">
        <f t="shared" si="0"/>
        <v/>
      </c>
      <c r="G45" s="50" t="str">
        <f t="shared" si="1"/>
        <v/>
      </c>
      <c r="H45" s="106"/>
      <c r="I45" s="106"/>
      <c r="J45" s="106"/>
      <c r="K45" s="106"/>
      <c r="L45" s="50" t="str">
        <f t="shared" si="2"/>
        <v/>
      </c>
      <c r="M45" s="50" t="str">
        <f t="shared" si="3"/>
        <v/>
      </c>
      <c r="N45" s="106"/>
      <c r="O45" s="106"/>
      <c r="P45" s="106"/>
      <c r="Q45" s="106"/>
      <c r="R45" s="50" t="str">
        <f t="shared" si="4"/>
        <v/>
      </c>
      <c r="S45" s="50" t="str">
        <f t="shared" si="5"/>
        <v/>
      </c>
      <c r="T45" s="106"/>
      <c r="U45" s="106"/>
      <c r="V45" s="106"/>
      <c r="W45" s="106"/>
      <c r="X45" s="50" t="str">
        <f t="shared" si="6"/>
        <v/>
      </c>
      <c r="Y45" s="50" t="str">
        <f t="shared" si="7"/>
        <v/>
      </c>
      <c r="Z45" s="106"/>
      <c r="AA45" s="106"/>
      <c r="AB45" s="106"/>
      <c r="AC45" s="106"/>
      <c r="AD45" s="50" t="str">
        <f t="shared" si="8"/>
        <v/>
      </c>
      <c r="AE45" s="50" t="str">
        <f t="shared" si="9"/>
        <v/>
      </c>
      <c r="AF45" s="106"/>
      <c r="AG45" s="106"/>
      <c r="AH45" s="106"/>
      <c r="AI45" s="106"/>
      <c r="AJ45" s="50" t="str">
        <f t="shared" si="10"/>
        <v/>
      </c>
      <c r="AK45" s="50" t="str">
        <f t="shared" si="11"/>
        <v/>
      </c>
      <c r="AL45" s="106"/>
      <c r="AM45" s="106"/>
      <c r="AN45" s="106"/>
      <c r="AO45" s="106"/>
      <c r="AP45" s="50" t="str">
        <f t="shared" si="12"/>
        <v/>
      </c>
      <c r="AQ45" s="50" t="str">
        <f t="shared" si="13"/>
        <v/>
      </c>
      <c r="AR45" s="106"/>
      <c r="AS45" s="106"/>
      <c r="AT45" s="106"/>
      <c r="AU45" s="106"/>
      <c r="AV45" s="50" t="str">
        <f t="shared" si="14"/>
        <v/>
      </c>
      <c r="AW45" s="50" t="str">
        <f t="shared" si="15"/>
        <v/>
      </c>
      <c r="AX45" s="106"/>
      <c r="AY45" s="106"/>
      <c r="AZ45" s="106"/>
      <c r="BA45" s="106"/>
      <c r="BB45" s="50" t="str">
        <f t="shared" si="16"/>
        <v/>
      </c>
      <c r="BC45" s="50" t="str">
        <f t="shared" si="17"/>
        <v/>
      </c>
      <c r="BD45" s="106"/>
      <c r="BE45" s="106"/>
      <c r="BF45" s="106"/>
      <c r="BG45" s="106"/>
      <c r="BH45" s="50" t="str">
        <f t="shared" si="18"/>
        <v/>
      </c>
      <c r="BI45" s="50" t="str">
        <f t="shared" si="19"/>
        <v/>
      </c>
    </row>
    <row r="46" spans="2:61" x14ac:dyDescent="0.25">
      <c r="B46" s="100"/>
      <c r="C46" s="101"/>
      <c r="D46" s="102"/>
      <c r="E46" s="102"/>
      <c r="F46" s="50" t="str">
        <f t="shared" si="0"/>
        <v/>
      </c>
      <c r="G46" s="50" t="str">
        <f t="shared" si="1"/>
        <v/>
      </c>
      <c r="H46" s="106"/>
      <c r="I46" s="106"/>
      <c r="J46" s="106"/>
      <c r="K46" s="106"/>
      <c r="L46" s="50" t="str">
        <f t="shared" si="2"/>
        <v/>
      </c>
      <c r="M46" s="50" t="str">
        <f t="shared" si="3"/>
        <v/>
      </c>
      <c r="N46" s="106"/>
      <c r="O46" s="106"/>
      <c r="P46" s="106"/>
      <c r="Q46" s="106"/>
      <c r="R46" s="50" t="str">
        <f t="shared" si="4"/>
        <v/>
      </c>
      <c r="S46" s="50" t="str">
        <f t="shared" si="5"/>
        <v/>
      </c>
      <c r="T46" s="106"/>
      <c r="U46" s="106"/>
      <c r="V46" s="106"/>
      <c r="W46" s="106"/>
      <c r="X46" s="50" t="str">
        <f t="shared" si="6"/>
        <v/>
      </c>
      <c r="Y46" s="50" t="str">
        <f t="shared" si="7"/>
        <v/>
      </c>
      <c r="Z46" s="106"/>
      <c r="AA46" s="106"/>
      <c r="AB46" s="104"/>
      <c r="AC46" s="106"/>
      <c r="AD46" s="50" t="str">
        <f t="shared" si="8"/>
        <v/>
      </c>
      <c r="AE46" s="50" t="str">
        <f t="shared" si="9"/>
        <v/>
      </c>
      <c r="AF46" s="106"/>
      <c r="AG46" s="106"/>
      <c r="AH46" s="106"/>
      <c r="AI46" s="106"/>
      <c r="AJ46" s="50" t="str">
        <f t="shared" si="10"/>
        <v/>
      </c>
      <c r="AK46" s="50" t="str">
        <f t="shared" si="11"/>
        <v/>
      </c>
      <c r="AL46" s="106"/>
      <c r="AM46" s="106"/>
      <c r="AN46" s="106"/>
      <c r="AO46" s="106"/>
      <c r="AP46" s="50" t="str">
        <f t="shared" si="12"/>
        <v/>
      </c>
      <c r="AQ46" s="50" t="str">
        <f t="shared" si="13"/>
        <v/>
      </c>
      <c r="AR46" s="106"/>
      <c r="AS46" s="106"/>
      <c r="AT46" s="106"/>
      <c r="AU46" s="106"/>
      <c r="AV46" s="50" t="str">
        <f t="shared" si="14"/>
        <v/>
      </c>
      <c r="AW46" s="50" t="str">
        <f t="shared" si="15"/>
        <v/>
      </c>
      <c r="AX46" s="106"/>
      <c r="AY46" s="106"/>
      <c r="AZ46" s="106"/>
      <c r="BA46" s="106"/>
      <c r="BB46" s="50" t="str">
        <f t="shared" si="16"/>
        <v/>
      </c>
      <c r="BC46" s="50" t="str">
        <f t="shared" si="17"/>
        <v/>
      </c>
      <c r="BD46" s="106"/>
      <c r="BE46" s="106"/>
      <c r="BF46" s="106"/>
      <c r="BG46" s="106"/>
      <c r="BH46" s="50" t="str">
        <f t="shared" si="18"/>
        <v/>
      </c>
      <c r="BI46" s="50" t="str">
        <f t="shared" si="19"/>
        <v/>
      </c>
    </row>
    <row r="47" spans="2:61" x14ac:dyDescent="0.25">
      <c r="B47" s="100"/>
      <c r="C47" s="101"/>
      <c r="D47" s="102"/>
      <c r="E47" s="102"/>
      <c r="F47" s="50" t="str">
        <f t="shared" si="0"/>
        <v/>
      </c>
      <c r="G47" s="50" t="str">
        <f t="shared" si="1"/>
        <v/>
      </c>
      <c r="H47" s="106"/>
      <c r="I47" s="106"/>
      <c r="J47" s="106"/>
      <c r="K47" s="106"/>
      <c r="L47" s="50" t="str">
        <f t="shared" si="2"/>
        <v/>
      </c>
      <c r="M47" s="50" t="str">
        <f t="shared" si="3"/>
        <v/>
      </c>
      <c r="N47" s="106"/>
      <c r="O47" s="106"/>
      <c r="P47" s="106"/>
      <c r="Q47" s="106"/>
      <c r="R47" s="50" t="str">
        <f t="shared" si="4"/>
        <v/>
      </c>
      <c r="S47" s="50" t="str">
        <f t="shared" si="5"/>
        <v/>
      </c>
      <c r="T47" s="106"/>
      <c r="U47" s="106"/>
      <c r="V47" s="106"/>
      <c r="W47" s="106"/>
      <c r="X47" s="50" t="str">
        <f t="shared" si="6"/>
        <v/>
      </c>
      <c r="Y47" s="50" t="str">
        <f t="shared" si="7"/>
        <v/>
      </c>
      <c r="Z47" s="106"/>
      <c r="AA47" s="106"/>
      <c r="AB47" s="104"/>
      <c r="AC47" s="106"/>
      <c r="AD47" s="50" t="str">
        <f t="shared" si="8"/>
        <v/>
      </c>
      <c r="AE47" s="50" t="str">
        <f t="shared" si="9"/>
        <v/>
      </c>
      <c r="AF47" s="106"/>
      <c r="AG47" s="106"/>
      <c r="AH47" s="106"/>
      <c r="AI47" s="106"/>
      <c r="AJ47" s="50" t="str">
        <f t="shared" si="10"/>
        <v/>
      </c>
      <c r="AK47" s="50" t="str">
        <f t="shared" si="11"/>
        <v/>
      </c>
      <c r="AL47" s="106"/>
      <c r="AM47" s="106"/>
      <c r="AN47" s="106"/>
      <c r="AO47" s="106"/>
      <c r="AP47" s="50" t="str">
        <f t="shared" si="12"/>
        <v/>
      </c>
      <c r="AQ47" s="50" t="str">
        <f t="shared" si="13"/>
        <v/>
      </c>
      <c r="AR47" s="106"/>
      <c r="AS47" s="106"/>
      <c r="AT47" s="106"/>
      <c r="AU47" s="106"/>
      <c r="AV47" s="50" t="str">
        <f t="shared" si="14"/>
        <v/>
      </c>
      <c r="AW47" s="50" t="str">
        <f t="shared" si="15"/>
        <v/>
      </c>
      <c r="AX47" s="106"/>
      <c r="AY47" s="106"/>
      <c r="AZ47" s="106"/>
      <c r="BA47" s="106"/>
      <c r="BB47" s="50" t="str">
        <f t="shared" si="16"/>
        <v/>
      </c>
      <c r="BC47" s="50" t="str">
        <f t="shared" si="17"/>
        <v/>
      </c>
      <c r="BD47" s="106"/>
      <c r="BE47" s="106"/>
      <c r="BF47" s="106"/>
      <c r="BG47" s="106"/>
      <c r="BH47" s="50" t="str">
        <f t="shared" si="18"/>
        <v/>
      </c>
      <c r="BI47" s="50" t="str">
        <f t="shared" si="19"/>
        <v/>
      </c>
    </row>
    <row r="48" spans="2:61" x14ac:dyDescent="0.25">
      <c r="B48" s="100"/>
      <c r="C48" s="101"/>
      <c r="D48" s="102"/>
      <c r="E48" s="102"/>
      <c r="F48" s="50" t="str">
        <f t="shared" si="0"/>
        <v/>
      </c>
      <c r="G48" s="50" t="str">
        <f t="shared" si="1"/>
        <v/>
      </c>
      <c r="H48" s="106"/>
      <c r="I48" s="106"/>
      <c r="J48" s="106"/>
      <c r="K48" s="106"/>
      <c r="L48" s="50" t="str">
        <f t="shared" si="2"/>
        <v/>
      </c>
      <c r="M48" s="50" t="str">
        <f t="shared" si="3"/>
        <v/>
      </c>
      <c r="N48" s="106"/>
      <c r="O48" s="106"/>
      <c r="P48" s="106"/>
      <c r="Q48" s="106"/>
      <c r="R48" s="50" t="str">
        <f t="shared" si="4"/>
        <v/>
      </c>
      <c r="S48" s="50" t="str">
        <f t="shared" si="5"/>
        <v/>
      </c>
      <c r="T48" s="106"/>
      <c r="U48" s="106"/>
      <c r="V48" s="106"/>
      <c r="W48" s="106"/>
      <c r="X48" s="50" t="str">
        <f t="shared" si="6"/>
        <v/>
      </c>
      <c r="Y48" s="50" t="str">
        <f t="shared" si="7"/>
        <v/>
      </c>
      <c r="Z48" s="106"/>
      <c r="AA48" s="106"/>
      <c r="AB48" s="106"/>
      <c r="AC48" s="106"/>
      <c r="AD48" s="50" t="str">
        <f t="shared" si="8"/>
        <v/>
      </c>
      <c r="AE48" s="50" t="str">
        <f t="shared" si="9"/>
        <v/>
      </c>
      <c r="AF48" s="106"/>
      <c r="AG48" s="106"/>
      <c r="AH48" s="106"/>
      <c r="AI48" s="106"/>
      <c r="AJ48" s="50" t="str">
        <f t="shared" si="10"/>
        <v/>
      </c>
      <c r="AK48" s="50" t="str">
        <f t="shared" si="11"/>
        <v/>
      </c>
      <c r="AL48" s="106"/>
      <c r="AM48" s="106"/>
      <c r="AN48" s="106"/>
      <c r="AO48" s="106"/>
      <c r="AP48" s="50" t="str">
        <f t="shared" si="12"/>
        <v/>
      </c>
      <c r="AQ48" s="50" t="str">
        <f t="shared" si="13"/>
        <v/>
      </c>
      <c r="AR48" s="106"/>
      <c r="AS48" s="106"/>
      <c r="AT48" s="106"/>
      <c r="AU48" s="106"/>
      <c r="AV48" s="50" t="str">
        <f t="shared" si="14"/>
        <v/>
      </c>
      <c r="AW48" s="50" t="str">
        <f t="shared" si="15"/>
        <v/>
      </c>
      <c r="AX48" s="106"/>
      <c r="AY48" s="106"/>
      <c r="AZ48" s="106"/>
      <c r="BA48" s="106"/>
      <c r="BB48" s="50" t="str">
        <f t="shared" si="16"/>
        <v/>
      </c>
      <c r="BC48" s="50" t="str">
        <f t="shared" si="17"/>
        <v/>
      </c>
      <c r="BD48" s="106"/>
      <c r="BE48" s="106"/>
      <c r="BF48" s="106"/>
      <c r="BG48" s="106"/>
      <c r="BH48" s="50" t="str">
        <f t="shared" si="18"/>
        <v/>
      </c>
      <c r="BI48" s="50" t="str">
        <f t="shared" si="19"/>
        <v/>
      </c>
    </row>
    <row r="49" spans="2:61" x14ac:dyDescent="0.25">
      <c r="B49" s="100"/>
      <c r="C49" s="101"/>
      <c r="D49" s="102"/>
      <c r="E49" s="102"/>
      <c r="F49" s="50" t="str">
        <f t="shared" si="0"/>
        <v/>
      </c>
      <c r="G49" s="50" t="str">
        <f t="shared" si="1"/>
        <v/>
      </c>
      <c r="H49" s="106"/>
      <c r="I49" s="106"/>
      <c r="J49" s="106"/>
      <c r="K49" s="106"/>
      <c r="L49" s="50" t="str">
        <f t="shared" si="2"/>
        <v/>
      </c>
      <c r="M49" s="50" t="str">
        <f t="shared" si="3"/>
        <v/>
      </c>
      <c r="N49" s="106"/>
      <c r="O49" s="106"/>
      <c r="P49" s="106"/>
      <c r="Q49" s="106"/>
      <c r="R49" s="50" t="str">
        <f t="shared" si="4"/>
        <v/>
      </c>
      <c r="S49" s="50" t="str">
        <f t="shared" si="5"/>
        <v/>
      </c>
      <c r="T49" s="106"/>
      <c r="U49" s="106"/>
      <c r="V49" s="106"/>
      <c r="W49" s="106"/>
      <c r="X49" s="50" t="str">
        <f t="shared" si="6"/>
        <v/>
      </c>
      <c r="Y49" s="50" t="str">
        <f t="shared" si="7"/>
        <v/>
      </c>
      <c r="Z49" s="106"/>
      <c r="AA49" s="106"/>
      <c r="AB49" s="106"/>
      <c r="AC49" s="106"/>
      <c r="AD49" s="50" t="str">
        <f t="shared" si="8"/>
        <v/>
      </c>
      <c r="AE49" s="50" t="str">
        <f t="shared" si="9"/>
        <v/>
      </c>
      <c r="AF49" s="106"/>
      <c r="AG49" s="106"/>
      <c r="AH49" s="106"/>
      <c r="AI49" s="106"/>
      <c r="AJ49" s="50" t="str">
        <f t="shared" si="10"/>
        <v/>
      </c>
      <c r="AK49" s="50" t="str">
        <f t="shared" si="11"/>
        <v/>
      </c>
      <c r="AL49" s="106"/>
      <c r="AM49" s="106"/>
      <c r="AN49" s="106"/>
      <c r="AO49" s="106"/>
      <c r="AP49" s="50" t="str">
        <f t="shared" si="12"/>
        <v/>
      </c>
      <c r="AQ49" s="50" t="str">
        <f t="shared" si="13"/>
        <v/>
      </c>
      <c r="AR49" s="106"/>
      <c r="AS49" s="106"/>
      <c r="AT49" s="106"/>
      <c r="AU49" s="106"/>
      <c r="AV49" s="50" t="str">
        <f t="shared" si="14"/>
        <v/>
      </c>
      <c r="AW49" s="50" t="str">
        <f t="shared" si="15"/>
        <v/>
      </c>
      <c r="AX49" s="106"/>
      <c r="AY49" s="106"/>
      <c r="AZ49" s="106"/>
      <c r="BA49" s="106"/>
      <c r="BB49" s="50" t="str">
        <f t="shared" si="16"/>
        <v/>
      </c>
      <c r="BC49" s="50" t="str">
        <f t="shared" si="17"/>
        <v/>
      </c>
      <c r="BD49" s="106"/>
      <c r="BE49" s="106"/>
      <c r="BF49" s="106"/>
      <c r="BG49" s="106"/>
      <c r="BH49" s="50" t="str">
        <f t="shared" si="18"/>
        <v/>
      </c>
      <c r="BI49" s="50" t="str">
        <f t="shared" si="19"/>
        <v/>
      </c>
    </row>
    <row r="50" spans="2:61" x14ac:dyDescent="0.25">
      <c r="B50" s="100"/>
      <c r="C50" s="101"/>
      <c r="D50" s="102"/>
      <c r="E50" s="102"/>
      <c r="F50" s="50" t="str">
        <f t="shared" si="0"/>
        <v/>
      </c>
      <c r="G50" s="50"/>
      <c r="H50" s="106"/>
      <c r="I50" s="106"/>
      <c r="J50" s="106"/>
      <c r="K50" s="106"/>
      <c r="L50" s="50" t="str">
        <f t="shared" si="2"/>
        <v/>
      </c>
      <c r="M50" s="50" t="str">
        <f t="shared" si="3"/>
        <v/>
      </c>
      <c r="N50" s="106"/>
      <c r="O50" s="106"/>
      <c r="P50" s="106"/>
      <c r="Q50" s="106"/>
      <c r="R50" s="50" t="str">
        <f t="shared" si="4"/>
        <v/>
      </c>
      <c r="S50" s="50" t="str">
        <f t="shared" si="5"/>
        <v/>
      </c>
      <c r="T50" s="106"/>
      <c r="U50" s="106"/>
      <c r="V50" s="106"/>
      <c r="W50" s="106"/>
      <c r="X50" s="50" t="str">
        <f t="shared" si="6"/>
        <v/>
      </c>
      <c r="Y50" s="50" t="str">
        <f t="shared" si="7"/>
        <v/>
      </c>
      <c r="Z50" s="106"/>
      <c r="AA50" s="106"/>
      <c r="AB50" s="106"/>
      <c r="AC50" s="106"/>
      <c r="AD50" s="50" t="str">
        <f t="shared" si="8"/>
        <v/>
      </c>
      <c r="AE50" s="50" t="str">
        <f t="shared" si="9"/>
        <v/>
      </c>
      <c r="AF50" s="106"/>
      <c r="AG50" s="106"/>
      <c r="AH50" s="106"/>
      <c r="AI50" s="106"/>
      <c r="AJ50" s="50" t="str">
        <f t="shared" si="10"/>
        <v/>
      </c>
      <c r="AK50" s="50" t="str">
        <f t="shared" si="11"/>
        <v/>
      </c>
      <c r="AL50" s="106"/>
      <c r="AM50" s="106"/>
      <c r="AN50" s="106"/>
      <c r="AO50" s="106"/>
      <c r="AP50" s="50" t="str">
        <f t="shared" si="12"/>
        <v/>
      </c>
      <c r="AQ50" s="50" t="str">
        <f t="shared" si="13"/>
        <v/>
      </c>
      <c r="AR50" s="106"/>
      <c r="AS50" s="106"/>
      <c r="AT50" s="106"/>
      <c r="AU50" s="106"/>
      <c r="AV50" s="50" t="str">
        <f t="shared" si="14"/>
        <v/>
      </c>
      <c r="AW50" s="50" t="str">
        <f t="shared" si="15"/>
        <v/>
      </c>
      <c r="AX50" s="106"/>
      <c r="AY50" s="106"/>
      <c r="AZ50" s="106"/>
      <c r="BA50" s="106"/>
      <c r="BB50" s="50" t="str">
        <f t="shared" si="16"/>
        <v/>
      </c>
      <c r="BC50" s="50" t="str">
        <f t="shared" si="17"/>
        <v/>
      </c>
      <c r="BD50" s="106"/>
      <c r="BE50" s="106"/>
      <c r="BF50" s="106"/>
      <c r="BG50" s="106"/>
      <c r="BH50" s="50" t="str">
        <f t="shared" si="18"/>
        <v/>
      </c>
      <c r="BI50" s="50" t="str">
        <f t="shared" si="19"/>
        <v/>
      </c>
    </row>
    <row r="51" spans="2:61" x14ac:dyDescent="0.25">
      <c r="B51" s="107"/>
      <c r="C51" s="108"/>
      <c r="D51" s="108"/>
      <c r="E51" s="108"/>
      <c r="F51" s="50" t="str">
        <f t="shared" si="0"/>
        <v/>
      </c>
      <c r="G51" s="50" t="str">
        <f t="shared" ref="G51:G85" si="20">IF(C$8="Phase based",IF(C51="","",(C$9/C$10)*C51),IF(D51="","",(D51/E51)))</f>
        <v/>
      </c>
      <c r="H51" s="107"/>
      <c r="I51" s="107"/>
      <c r="J51" s="107"/>
      <c r="K51" s="107"/>
    </row>
    <row r="52" spans="2:61" x14ac:dyDescent="0.25">
      <c r="B52" s="107"/>
      <c r="C52" s="108"/>
      <c r="D52" s="108"/>
      <c r="E52" s="108"/>
      <c r="F52" s="50" t="str">
        <f t="shared" ref="F52:F115" si="21">IF($C$8="Phase based",IF(C52="","",$C$9*C52),IF(D52="","",D52))</f>
        <v/>
      </c>
      <c r="G52" s="50" t="str">
        <f t="shared" si="20"/>
        <v/>
      </c>
      <c r="H52" s="107"/>
      <c r="I52" s="107"/>
      <c r="J52" s="107"/>
      <c r="K52" s="107"/>
    </row>
    <row r="53" spans="2:61" x14ac:dyDescent="0.25">
      <c r="B53" s="107"/>
      <c r="C53" s="108"/>
      <c r="D53" s="108"/>
      <c r="E53" s="108"/>
      <c r="F53" s="50" t="str">
        <f t="shared" si="21"/>
        <v/>
      </c>
      <c r="G53" s="50" t="str">
        <f t="shared" si="20"/>
        <v/>
      </c>
      <c r="H53" s="107"/>
      <c r="I53" s="107"/>
      <c r="J53" s="107"/>
      <c r="K53" s="107"/>
    </row>
    <row r="54" spans="2:61" x14ac:dyDescent="0.25">
      <c r="B54" s="107"/>
      <c r="C54" s="108"/>
      <c r="D54" s="108"/>
      <c r="E54" s="108"/>
      <c r="F54" s="50" t="str">
        <f t="shared" si="21"/>
        <v/>
      </c>
      <c r="G54" s="50" t="str">
        <f t="shared" si="20"/>
        <v/>
      </c>
      <c r="H54" s="107"/>
      <c r="I54" s="107"/>
      <c r="J54" s="107"/>
      <c r="K54" s="107"/>
    </row>
    <row r="55" spans="2:61" x14ac:dyDescent="0.25">
      <c r="B55" s="107"/>
      <c r="C55" s="108"/>
      <c r="D55" s="108"/>
      <c r="E55" s="108"/>
      <c r="F55" s="50" t="str">
        <f t="shared" si="21"/>
        <v/>
      </c>
      <c r="G55" s="50" t="str">
        <f t="shared" si="20"/>
        <v/>
      </c>
      <c r="H55" s="107"/>
      <c r="I55" s="107"/>
      <c r="J55" s="107"/>
      <c r="K55" s="107"/>
    </row>
    <row r="56" spans="2:61" x14ac:dyDescent="0.25">
      <c r="B56" s="107"/>
      <c r="C56" s="108"/>
      <c r="D56" s="108"/>
      <c r="E56" s="108"/>
      <c r="F56" s="50" t="str">
        <f t="shared" si="21"/>
        <v/>
      </c>
      <c r="G56" s="50" t="str">
        <f t="shared" si="20"/>
        <v/>
      </c>
      <c r="H56" s="107"/>
      <c r="I56" s="107"/>
      <c r="J56" s="107"/>
      <c r="K56" s="107"/>
    </row>
    <row r="57" spans="2:61" x14ac:dyDescent="0.25">
      <c r="B57" s="107"/>
      <c r="C57" s="108"/>
      <c r="D57" s="108"/>
      <c r="E57" s="108"/>
      <c r="F57" s="50" t="str">
        <f t="shared" si="21"/>
        <v/>
      </c>
      <c r="G57" s="50" t="str">
        <f t="shared" si="20"/>
        <v/>
      </c>
      <c r="H57" s="107"/>
      <c r="I57" s="107"/>
      <c r="J57" s="107"/>
      <c r="K57" s="107"/>
    </row>
    <row r="58" spans="2:61" x14ac:dyDescent="0.25">
      <c r="B58" s="107"/>
      <c r="C58" s="108"/>
      <c r="D58" s="108"/>
      <c r="E58" s="108"/>
      <c r="F58" s="50" t="str">
        <f t="shared" si="21"/>
        <v/>
      </c>
      <c r="G58" s="50" t="str">
        <f t="shared" si="20"/>
        <v/>
      </c>
      <c r="H58" s="107"/>
      <c r="I58" s="107"/>
      <c r="J58" s="107"/>
      <c r="K58" s="107"/>
    </row>
    <row r="59" spans="2:61" x14ac:dyDescent="0.25">
      <c r="B59" s="107"/>
      <c r="C59" s="108"/>
      <c r="D59" s="108"/>
      <c r="E59" s="108"/>
      <c r="F59" s="50" t="str">
        <f t="shared" si="21"/>
        <v/>
      </c>
      <c r="G59" s="50" t="str">
        <f t="shared" si="20"/>
        <v/>
      </c>
      <c r="H59" s="107"/>
      <c r="I59" s="107"/>
      <c r="J59" s="107"/>
      <c r="K59" s="107"/>
    </row>
    <row r="60" spans="2:61" x14ac:dyDescent="0.25">
      <c r="B60" s="107"/>
      <c r="C60" s="108"/>
      <c r="D60" s="108"/>
      <c r="E60" s="108"/>
      <c r="F60" s="50" t="str">
        <f t="shared" si="21"/>
        <v/>
      </c>
      <c r="G60" s="50" t="str">
        <f t="shared" si="20"/>
        <v/>
      </c>
      <c r="H60" s="107"/>
      <c r="I60" s="107"/>
      <c r="J60" s="107"/>
      <c r="K60" s="107"/>
    </row>
    <row r="61" spans="2:61" x14ac:dyDescent="0.25">
      <c r="B61" s="107"/>
      <c r="C61" s="108"/>
      <c r="D61" s="108"/>
      <c r="E61" s="108"/>
      <c r="F61" s="50" t="str">
        <f t="shared" si="21"/>
        <v/>
      </c>
      <c r="G61" s="50" t="str">
        <f t="shared" si="20"/>
        <v/>
      </c>
      <c r="H61" s="107"/>
      <c r="I61" s="107"/>
      <c r="J61" s="107"/>
      <c r="K61" s="107"/>
    </row>
    <row r="62" spans="2:61" x14ac:dyDescent="0.25">
      <c r="B62" s="107"/>
      <c r="C62" s="108"/>
      <c r="D62" s="108"/>
      <c r="E62" s="108"/>
      <c r="F62" s="50" t="str">
        <f t="shared" si="21"/>
        <v/>
      </c>
      <c r="G62" s="50" t="str">
        <f t="shared" si="20"/>
        <v/>
      </c>
      <c r="H62" s="107"/>
      <c r="I62" s="107"/>
      <c r="J62" s="107"/>
      <c r="K62" s="107"/>
    </row>
    <row r="63" spans="2:61" x14ac:dyDescent="0.25">
      <c r="B63" s="107"/>
      <c r="C63" s="108"/>
      <c r="D63" s="108"/>
      <c r="E63" s="108"/>
      <c r="F63" s="50" t="str">
        <f t="shared" si="21"/>
        <v/>
      </c>
      <c r="G63" s="50" t="str">
        <f t="shared" si="20"/>
        <v/>
      </c>
      <c r="H63" s="107"/>
      <c r="I63" s="107"/>
      <c r="J63" s="107"/>
      <c r="K63" s="107"/>
    </row>
    <row r="64" spans="2:61" x14ac:dyDescent="0.25">
      <c r="B64" s="107"/>
      <c r="C64" s="108"/>
      <c r="D64" s="108"/>
      <c r="E64" s="108"/>
      <c r="F64" s="50" t="str">
        <f t="shared" si="21"/>
        <v/>
      </c>
      <c r="G64" s="50" t="str">
        <f t="shared" si="20"/>
        <v/>
      </c>
      <c r="H64" s="107"/>
      <c r="I64" s="107"/>
      <c r="J64" s="107"/>
      <c r="K64" s="107"/>
    </row>
    <row r="65" spans="2:11" x14ac:dyDescent="0.25">
      <c r="B65" s="107"/>
      <c r="C65" s="108"/>
      <c r="D65" s="108"/>
      <c r="E65" s="108"/>
      <c r="F65" s="50" t="str">
        <f t="shared" si="21"/>
        <v/>
      </c>
      <c r="G65" s="50" t="str">
        <f t="shared" si="20"/>
        <v/>
      </c>
      <c r="H65" s="107"/>
      <c r="I65" s="107"/>
      <c r="J65" s="107"/>
      <c r="K65" s="107"/>
    </row>
    <row r="66" spans="2:11" x14ac:dyDescent="0.25">
      <c r="B66" s="107"/>
      <c r="C66" s="108"/>
      <c r="D66" s="108"/>
      <c r="E66" s="108"/>
      <c r="F66" s="50" t="str">
        <f t="shared" si="21"/>
        <v/>
      </c>
      <c r="G66" s="50" t="str">
        <f t="shared" si="20"/>
        <v/>
      </c>
      <c r="H66" s="107"/>
      <c r="I66" s="107"/>
      <c r="J66" s="107"/>
      <c r="K66" s="107"/>
    </row>
    <row r="67" spans="2:11" x14ac:dyDescent="0.25">
      <c r="B67" s="107"/>
      <c r="C67" s="108"/>
      <c r="D67" s="108"/>
      <c r="E67" s="108"/>
      <c r="F67" s="50" t="str">
        <f t="shared" si="21"/>
        <v/>
      </c>
      <c r="G67" s="50" t="str">
        <f t="shared" si="20"/>
        <v/>
      </c>
      <c r="H67" s="107"/>
      <c r="I67" s="107"/>
      <c r="J67" s="107"/>
      <c r="K67" s="107"/>
    </row>
    <row r="68" spans="2:11" x14ac:dyDescent="0.25">
      <c r="B68" s="107"/>
      <c r="C68" s="108"/>
      <c r="D68" s="108"/>
      <c r="E68" s="108"/>
      <c r="F68" s="50" t="str">
        <f t="shared" si="21"/>
        <v/>
      </c>
      <c r="G68" s="50" t="str">
        <f t="shared" si="20"/>
        <v/>
      </c>
      <c r="H68" s="107"/>
      <c r="I68" s="107"/>
      <c r="J68" s="107"/>
      <c r="K68" s="107"/>
    </row>
    <row r="69" spans="2:11" x14ac:dyDescent="0.25">
      <c r="B69" s="107"/>
      <c r="C69" s="108"/>
      <c r="D69" s="108"/>
      <c r="E69" s="108"/>
      <c r="F69" s="50" t="str">
        <f t="shared" si="21"/>
        <v/>
      </c>
      <c r="G69" s="50" t="str">
        <f t="shared" si="20"/>
        <v/>
      </c>
      <c r="H69" s="107"/>
      <c r="I69" s="107"/>
      <c r="J69" s="107"/>
      <c r="K69" s="107"/>
    </row>
    <row r="70" spans="2:11" x14ac:dyDescent="0.25">
      <c r="B70" s="107"/>
      <c r="C70" s="108"/>
      <c r="D70" s="108"/>
      <c r="E70" s="108"/>
      <c r="F70" s="50" t="str">
        <f t="shared" si="21"/>
        <v/>
      </c>
      <c r="G70" s="50" t="str">
        <f t="shared" si="20"/>
        <v/>
      </c>
      <c r="H70" s="107"/>
      <c r="I70" s="107"/>
      <c r="J70" s="107"/>
      <c r="K70" s="107"/>
    </row>
    <row r="71" spans="2:11" x14ac:dyDescent="0.25">
      <c r="B71" s="107"/>
      <c r="C71" s="108"/>
      <c r="D71" s="108"/>
      <c r="E71" s="108"/>
      <c r="F71" s="50" t="str">
        <f t="shared" si="21"/>
        <v/>
      </c>
      <c r="G71" s="50" t="str">
        <f t="shared" si="20"/>
        <v/>
      </c>
      <c r="H71" s="107"/>
      <c r="I71" s="107"/>
      <c r="J71" s="107"/>
      <c r="K71" s="107"/>
    </row>
    <row r="72" spans="2:11" x14ac:dyDescent="0.25">
      <c r="B72" s="107"/>
      <c r="C72" s="108"/>
      <c r="D72" s="108"/>
      <c r="E72" s="108"/>
      <c r="F72" s="50" t="str">
        <f t="shared" si="21"/>
        <v/>
      </c>
      <c r="G72" s="50" t="str">
        <f t="shared" si="20"/>
        <v/>
      </c>
      <c r="H72" s="107"/>
      <c r="I72" s="107"/>
      <c r="J72" s="107"/>
      <c r="K72" s="107"/>
    </row>
    <row r="73" spans="2:11" x14ac:dyDescent="0.25">
      <c r="B73" s="107"/>
      <c r="C73" s="108"/>
      <c r="D73" s="108"/>
      <c r="E73" s="108"/>
      <c r="F73" s="50" t="str">
        <f t="shared" si="21"/>
        <v/>
      </c>
      <c r="G73" s="50" t="str">
        <f t="shared" si="20"/>
        <v/>
      </c>
      <c r="H73" s="107"/>
      <c r="I73" s="107"/>
      <c r="J73" s="107"/>
      <c r="K73" s="107"/>
    </row>
    <row r="74" spans="2:11" x14ac:dyDescent="0.25">
      <c r="B74" s="107"/>
      <c r="C74" s="108"/>
      <c r="D74" s="108"/>
      <c r="E74" s="108"/>
      <c r="F74" s="50" t="str">
        <f t="shared" si="21"/>
        <v/>
      </c>
      <c r="G74" s="50" t="str">
        <f t="shared" si="20"/>
        <v/>
      </c>
      <c r="H74" s="107"/>
      <c r="I74" s="107"/>
      <c r="J74" s="107"/>
      <c r="K74" s="107"/>
    </row>
    <row r="75" spans="2:11" x14ac:dyDescent="0.25">
      <c r="B75" s="107"/>
      <c r="C75" s="108"/>
      <c r="D75" s="108"/>
      <c r="E75" s="108"/>
      <c r="F75" s="50" t="str">
        <f t="shared" si="21"/>
        <v/>
      </c>
      <c r="G75" s="50" t="str">
        <f t="shared" si="20"/>
        <v/>
      </c>
      <c r="H75" s="107"/>
      <c r="I75" s="107"/>
      <c r="J75" s="107"/>
      <c r="K75" s="107"/>
    </row>
    <row r="76" spans="2:11" x14ac:dyDescent="0.25">
      <c r="B76" s="107"/>
      <c r="C76" s="108"/>
      <c r="D76" s="108"/>
      <c r="E76" s="108"/>
      <c r="F76" s="50" t="str">
        <f t="shared" si="21"/>
        <v/>
      </c>
      <c r="G76" s="50" t="str">
        <f t="shared" si="20"/>
        <v/>
      </c>
      <c r="H76" s="107"/>
      <c r="I76" s="107"/>
      <c r="J76" s="107"/>
      <c r="K76" s="107"/>
    </row>
    <row r="77" spans="2:11" x14ac:dyDescent="0.25">
      <c r="B77" s="107"/>
      <c r="C77" s="108"/>
      <c r="D77" s="108"/>
      <c r="E77" s="108"/>
      <c r="F77" s="50" t="str">
        <f t="shared" si="21"/>
        <v/>
      </c>
      <c r="G77" s="50" t="str">
        <f t="shared" si="20"/>
        <v/>
      </c>
      <c r="H77" s="107"/>
      <c r="I77" s="107"/>
      <c r="J77" s="107"/>
      <c r="K77" s="107"/>
    </row>
    <row r="78" spans="2:11" x14ac:dyDescent="0.25">
      <c r="B78" s="107"/>
      <c r="C78" s="108"/>
      <c r="D78" s="108"/>
      <c r="E78" s="108"/>
      <c r="F78" s="50" t="str">
        <f t="shared" si="21"/>
        <v/>
      </c>
      <c r="G78" s="50" t="str">
        <f t="shared" si="20"/>
        <v/>
      </c>
      <c r="H78" s="107"/>
      <c r="I78" s="107"/>
      <c r="J78" s="107"/>
      <c r="K78" s="107"/>
    </row>
    <row r="79" spans="2:11" x14ac:dyDescent="0.25">
      <c r="B79" s="107"/>
      <c r="C79" s="108"/>
      <c r="D79" s="108"/>
      <c r="E79" s="108"/>
      <c r="F79" s="50" t="str">
        <f t="shared" si="21"/>
        <v/>
      </c>
      <c r="G79" s="50" t="str">
        <f t="shared" si="20"/>
        <v/>
      </c>
      <c r="H79" s="107"/>
      <c r="I79" s="107"/>
      <c r="J79" s="107"/>
      <c r="K79" s="107"/>
    </row>
    <row r="80" spans="2:11" x14ac:dyDescent="0.25">
      <c r="B80" s="107"/>
      <c r="C80" s="108"/>
      <c r="D80" s="108"/>
      <c r="E80" s="108"/>
      <c r="F80" s="50" t="str">
        <f t="shared" si="21"/>
        <v/>
      </c>
      <c r="G80" s="50" t="str">
        <f t="shared" si="20"/>
        <v/>
      </c>
      <c r="H80" s="107"/>
      <c r="I80" s="107"/>
      <c r="J80" s="107"/>
      <c r="K80" s="107"/>
    </row>
    <row r="81" spans="2:11" x14ac:dyDescent="0.25">
      <c r="B81" s="107"/>
      <c r="C81" s="108"/>
      <c r="D81" s="108"/>
      <c r="E81" s="108"/>
      <c r="F81" s="50" t="str">
        <f t="shared" si="21"/>
        <v/>
      </c>
      <c r="G81" s="50" t="str">
        <f t="shared" si="20"/>
        <v/>
      </c>
      <c r="H81" s="107"/>
      <c r="I81" s="107"/>
      <c r="J81" s="107"/>
      <c r="K81" s="107"/>
    </row>
    <row r="82" spans="2:11" x14ac:dyDescent="0.25">
      <c r="B82" s="107"/>
      <c r="C82" s="108"/>
      <c r="D82" s="108"/>
      <c r="E82" s="108"/>
      <c r="F82" s="50" t="str">
        <f t="shared" si="21"/>
        <v/>
      </c>
      <c r="G82" s="50" t="str">
        <f t="shared" si="20"/>
        <v/>
      </c>
      <c r="H82" s="107"/>
      <c r="I82" s="107"/>
      <c r="J82" s="107"/>
      <c r="K82" s="107"/>
    </row>
    <row r="83" spans="2:11" x14ac:dyDescent="0.25">
      <c r="B83" s="107"/>
      <c r="C83" s="108"/>
      <c r="D83" s="108"/>
      <c r="E83" s="108"/>
      <c r="F83" s="50" t="str">
        <f t="shared" si="21"/>
        <v/>
      </c>
      <c r="G83" s="50" t="str">
        <f t="shared" si="20"/>
        <v/>
      </c>
      <c r="H83" s="107"/>
      <c r="I83" s="107"/>
      <c r="J83" s="107"/>
      <c r="K83" s="107"/>
    </row>
    <row r="84" spans="2:11" x14ac:dyDescent="0.25">
      <c r="B84" s="107"/>
      <c r="C84" s="108"/>
      <c r="D84" s="108"/>
      <c r="E84" s="108"/>
      <c r="F84" s="50" t="str">
        <f t="shared" si="21"/>
        <v/>
      </c>
      <c r="G84" s="50" t="str">
        <f t="shared" si="20"/>
        <v/>
      </c>
      <c r="H84" s="107"/>
      <c r="I84" s="107"/>
      <c r="J84" s="107"/>
      <c r="K84" s="107"/>
    </row>
    <row r="85" spans="2:11" x14ac:dyDescent="0.25">
      <c r="B85" s="107"/>
      <c r="C85" s="108"/>
      <c r="D85" s="108"/>
      <c r="E85" s="108"/>
      <c r="F85" s="50" t="str">
        <f t="shared" si="21"/>
        <v/>
      </c>
      <c r="G85" s="50" t="str">
        <f t="shared" si="20"/>
        <v/>
      </c>
      <c r="H85" s="107"/>
      <c r="I85" s="107"/>
      <c r="J85" s="107"/>
      <c r="K85" s="107"/>
    </row>
    <row r="86" spans="2:11" x14ac:dyDescent="0.25">
      <c r="B86" s="107"/>
      <c r="C86" s="108"/>
      <c r="D86" s="108"/>
      <c r="E86" s="108"/>
      <c r="F86" s="50" t="str">
        <f t="shared" si="21"/>
        <v/>
      </c>
      <c r="G86" s="50"/>
      <c r="H86" s="107"/>
      <c r="I86" s="107"/>
      <c r="J86" s="107"/>
      <c r="K86" s="107"/>
    </row>
    <row r="87" spans="2:11" x14ac:dyDescent="0.25">
      <c r="B87" s="107"/>
      <c r="C87" s="108"/>
      <c r="D87" s="108"/>
      <c r="E87" s="108"/>
      <c r="F87" s="50" t="str">
        <f t="shared" si="21"/>
        <v/>
      </c>
      <c r="G87" s="50" t="str">
        <f t="shared" ref="G87:G121" si="22">IF(C$8="Phase based",IF(C87="","",(C$9/C$10)*C87),IF(D87="","",(D87/E87)))</f>
        <v/>
      </c>
      <c r="H87" s="107"/>
      <c r="I87" s="107"/>
      <c r="J87" s="107"/>
      <c r="K87" s="107"/>
    </row>
    <row r="88" spans="2:11" x14ac:dyDescent="0.25">
      <c r="B88" s="107"/>
      <c r="C88" s="108"/>
      <c r="D88" s="108"/>
      <c r="E88" s="108"/>
      <c r="F88" s="50" t="str">
        <f t="shared" si="21"/>
        <v/>
      </c>
      <c r="G88" s="50" t="str">
        <f t="shared" si="22"/>
        <v/>
      </c>
      <c r="H88" s="107"/>
      <c r="I88" s="107"/>
      <c r="J88" s="107"/>
      <c r="K88" s="107"/>
    </row>
    <row r="89" spans="2:11" x14ac:dyDescent="0.25">
      <c r="B89" s="107"/>
      <c r="C89" s="108"/>
      <c r="D89" s="108"/>
      <c r="E89" s="108"/>
      <c r="F89" s="50" t="str">
        <f t="shared" si="21"/>
        <v/>
      </c>
      <c r="G89" s="50" t="str">
        <f t="shared" si="22"/>
        <v/>
      </c>
      <c r="H89" s="107"/>
      <c r="I89" s="107"/>
      <c r="J89" s="107"/>
      <c r="K89" s="107"/>
    </row>
    <row r="90" spans="2:11" x14ac:dyDescent="0.25">
      <c r="B90" s="107"/>
      <c r="C90" s="108"/>
      <c r="D90" s="108"/>
      <c r="E90" s="108"/>
      <c r="F90" s="50" t="str">
        <f t="shared" si="21"/>
        <v/>
      </c>
      <c r="G90" s="50" t="str">
        <f t="shared" si="22"/>
        <v/>
      </c>
      <c r="H90" s="107"/>
      <c r="I90" s="107"/>
      <c r="J90" s="107"/>
      <c r="K90" s="107"/>
    </row>
    <row r="91" spans="2:11" x14ac:dyDescent="0.25">
      <c r="B91" s="107"/>
      <c r="C91" s="108"/>
      <c r="D91" s="108"/>
      <c r="E91" s="108"/>
      <c r="F91" s="50" t="str">
        <f t="shared" si="21"/>
        <v/>
      </c>
      <c r="G91" s="50" t="str">
        <f t="shared" si="22"/>
        <v/>
      </c>
      <c r="H91" s="107"/>
      <c r="I91" s="107"/>
      <c r="J91" s="107"/>
      <c r="K91" s="107"/>
    </row>
    <row r="92" spans="2:11" x14ac:dyDescent="0.25">
      <c r="B92" s="107"/>
      <c r="C92" s="108"/>
      <c r="D92" s="108"/>
      <c r="E92" s="108"/>
      <c r="F92" s="50" t="str">
        <f t="shared" si="21"/>
        <v/>
      </c>
      <c r="G92" s="50" t="str">
        <f t="shared" si="22"/>
        <v/>
      </c>
      <c r="H92" s="107"/>
      <c r="I92" s="107"/>
      <c r="J92" s="107"/>
      <c r="K92" s="107"/>
    </row>
    <row r="93" spans="2:11" x14ac:dyDescent="0.25">
      <c r="B93" s="107"/>
      <c r="C93" s="108"/>
      <c r="D93" s="108"/>
      <c r="E93" s="108"/>
      <c r="F93" s="50" t="str">
        <f t="shared" si="21"/>
        <v/>
      </c>
      <c r="G93" s="50" t="str">
        <f t="shared" si="22"/>
        <v/>
      </c>
      <c r="H93" s="107"/>
      <c r="I93" s="107"/>
      <c r="J93" s="107"/>
      <c r="K93" s="107"/>
    </row>
    <row r="94" spans="2:11" x14ac:dyDescent="0.25">
      <c r="B94" s="107"/>
      <c r="C94" s="108"/>
      <c r="D94" s="108"/>
      <c r="E94" s="108"/>
      <c r="F94" s="50" t="str">
        <f t="shared" si="21"/>
        <v/>
      </c>
      <c r="G94" s="50" t="str">
        <f t="shared" si="22"/>
        <v/>
      </c>
      <c r="H94" s="107"/>
      <c r="I94" s="107"/>
      <c r="J94" s="107"/>
      <c r="K94" s="107"/>
    </row>
    <row r="95" spans="2:11" x14ac:dyDescent="0.25">
      <c r="B95" s="107"/>
      <c r="C95" s="108"/>
      <c r="D95" s="108"/>
      <c r="E95" s="108"/>
      <c r="F95" s="50" t="str">
        <f t="shared" si="21"/>
        <v/>
      </c>
      <c r="G95" s="50" t="str">
        <f t="shared" si="22"/>
        <v/>
      </c>
      <c r="H95" s="107"/>
      <c r="I95" s="107"/>
      <c r="J95" s="107"/>
      <c r="K95" s="107"/>
    </row>
    <row r="96" spans="2:11" x14ac:dyDescent="0.25">
      <c r="B96" s="107"/>
      <c r="C96" s="108"/>
      <c r="D96" s="108"/>
      <c r="E96" s="108"/>
      <c r="F96" s="50" t="str">
        <f t="shared" si="21"/>
        <v/>
      </c>
      <c r="G96" s="50" t="str">
        <f t="shared" si="22"/>
        <v/>
      </c>
      <c r="H96" s="107"/>
      <c r="I96" s="107"/>
      <c r="J96" s="107"/>
      <c r="K96" s="107"/>
    </row>
    <row r="97" spans="2:11" x14ac:dyDescent="0.25">
      <c r="B97" s="107"/>
      <c r="C97" s="108"/>
      <c r="D97" s="108"/>
      <c r="E97" s="108"/>
      <c r="F97" s="50" t="str">
        <f t="shared" si="21"/>
        <v/>
      </c>
      <c r="G97" s="50" t="str">
        <f t="shared" si="22"/>
        <v/>
      </c>
      <c r="H97" s="107"/>
      <c r="I97" s="107"/>
      <c r="J97" s="107"/>
      <c r="K97" s="107"/>
    </row>
    <row r="98" spans="2:11" x14ac:dyDescent="0.25">
      <c r="B98" s="107"/>
      <c r="C98" s="108"/>
      <c r="D98" s="108"/>
      <c r="E98" s="108"/>
      <c r="F98" s="50" t="str">
        <f t="shared" si="21"/>
        <v/>
      </c>
      <c r="G98" s="50" t="str">
        <f t="shared" si="22"/>
        <v/>
      </c>
      <c r="H98" s="107"/>
      <c r="I98" s="107"/>
      <c r="J98" s="107"/>
      <c r="K98" s="107"/>
    </row>
    <row r="99" spans="2:11" x14ac:dyDescent="0.25">
      <c r="B99" s="107"/>
      <c r="C99" s="108"/>
      <c r="D99" s="108"/>
      <c r="E99" s="108"/>
      <c r="F99" s="50" t="str">
        <f t="shared" si="21"/>
        <v/>
      </c>
      <c r="G99" s="50" t="str">
        <f t="shared" si="22"/>
        <v/>
      </c>
      <c r="H99" s="107"/>
      <c r="I99" s="107"/>
      <c r="J99" s="107"/>
      <c r="K99" s="107"/>
    </row>
    <row r="100" spans="2:11" x14ac:dyDescent="0.25">
      <c r="B100" s="107"/>
      <c r="C100" s="108"/>
      <c r="D100" s="108"/>
      <c r="E100" s="108"/>
      <c r="F100" s="50" t="str">
        <f t="shared" si="21"/>
        <v/>
      </c>
      <c r="G100" s="50" t="str">
        <f t="shared" si="22"/>
        <v/>
      </c>
      <c r="H100" s="107"/>
      <c r="I100" s="107"/>
      <c r="J100" s="107"/>
      <c r="K100" s="107"/>
    </row>
    <row r="101" spans="2:11" x14ac:dyDescent="0.25">
      <c r="F101" s="50" t="str">
        <f t="shared" si="21"/>
        <v/>
      </c>
      <c r="G101" s="50" t="str">
        <f t="shared" si="22"/>
        <v/>
      </c>
    </row>
    <row r="102" spans="2:11" x14ac:dyDescent="0.25">
      <c r="F102" s="50" t="str">
        <f t="shared" si="21"/>
        <v/>
      </c>
      <c r="G102" s="50" t="str">
        <f t="shared" si="22"/>
        <v/>
      </c>
    </row>
    <row r="103" spans="2:11" x14ac:dyDescent="0.25">
      <c r="F103" s="50" t="str">
        <f t="shared" si="21"/>
        <v/>
      </c>
      <c r="G103" s="50" t="str">
        <f t="shared" si="22"/>
        <v/>
      </c>
    </row>
    <row r="104" spans="2:11" x14ac:dyDescent="0.25">
      <c r="F104" s="50" t="str">
        <f t="shared" si="21"/>
        <v/>
      </c>
      <c r="G104" s="50" t="str">
        <f t="shared" si="22"/>
        <v/>
      </c>
    </row>
    <row r="105" spans="2:11" x14ac:dyDescent="0.25">
      <c r="F105" s="50" t="str">
        <f t="shared" si="21"/>
        <v/>
      </c>
      <c r="G105" s="50" t="str">
        <f t="shared" si="22"/>
        <v/>
      </c>
    </row>
    <row r="106" spans="2:11" x14ac:dyDescent="0.25">
      <c r="F106" s="50" t="str">
        <f t="shared" si="21"/>
        <v/>
      </c>
      <c r="G106" s="50" t="str">
        <f t="shared" si="22"/>
        <v/>
      </c>
    </row>
    <row r="107" spans="2:11" x14ac:dyDescent="0.25">
      <c r="F107" s="50" t="str">
        <f t="shared" si="21"/>
        <v/>
      </c>
      <c r="G107" s="50" t="str">
        <f t="shared" si="22"/>
        <v/>
      </c>
    </row>
    <row r="108" spans="2:11" x14ac:dyDescent="0.25">
      <c r="F108" s="50" t="str">
        <f t="shared" si="21"/>
        <v/>
      </c>
      <c r="G108" s="50" t="str">
        <f t="shared" si="22"/>
        <v/>
      </c>
    </row>
    <row r="109" spans="2:11" x14ac:dyDescent="0.25">
      <c r="F109" s="50" t="str">
        <f t="shared" si="21"/>
        <v/>
      </c>
      <c r="G109" s="50" t="str">
        <f t="shared" si="22"/>
        <v/>
      </c>
    </row>
    <row r="110" spans="2:11" x14ac:dyDescent="0.25">
      <c r="F110" s="50" t="str">
        <f t="shared" si="21"/>
        <v/>
      </c>
      <c r="G110" s="50" t="str">
        <f t="shared" si="22"/>
        <v/>
      </c>
    </row>
    <row r="111" spans="2:11" x14ac:dyDescent="0.25">
      <c r="F111" s="50" t="str">
        <f t="shared" si="21"/>
        <v/>
      </c>
      <c r="G111" s="50" t="str">
        <f t="shared" si="22"/>
        <v/>
      </c>
    </row>
    <row r="112" spans="2:11" x14ac:dyDescent="0.25">
      <c r="F112" s="50" t="str">
        <f t="shared" si="21"/>
        <v/>
      </c>
      <c r="G112" s="50" t="str">
        <f t="shared" si="22"/>
        <v/>
      </c>
    </row>
    <row r="113" spans="6:7" x14ac:dyDescent="0.25">
      <c r="F113" s="50" t="str">
        <f t="shared" si="21"/>
        <v/>
      </c>
      <c r="G113" s="50" t="str">
        <f t="shared" si="22"/>
        <v/>
      </c>
    </row>
    <row r="114" spans="6:7" x14ac:dyDescent="0.25">
      <c r="F114" s="50" t="str">
        <f t="shared" si="21"/>
        <v/>
      </c>
      <c r="G114" s="50" t="str">
        <f t="shared" si="22"/>
        <v/>
      </c>
    </row>
    <row r="115" spans="6:7" x14ac:dyDescent="0.25">
      <c r="F115" s="50" t="str">
        <f t="shared" si="21"/>
        <v/>
      </c>
      <c r="G115" s="50" t="str">
        <f t="shared" si="22"/>
        <v/>
      </c>
    </row>
    <row r="116" spans="6:7" x14ac:dyDescent="0.25">
      <c r="F116" s="50" t="str">
        <f t="shared" ref="F116:F179" si="23">IF($C$8="Phase based",IF(C116="","",$C$9*C116),IF(D116="","",D116))</f>
        <v/>
      </c>
      <c r="G116" s="50" t="str">
        <f t="shared" si="22"/>
        <v/>
      </c>
    </row>
    <row r="117" spans="6:7" x14ac:dyDescent="0.25">
      <c r="F117" s="50" t="str">
        <f t="shared" si="23"/>
        <v/>
      </c>
      <c r="G117" s="50" t="str">
        <f t="shared" si="22"/>
        <v/>
      </c>
    </row>
    <row r="118" spans="6:7" x14ac:dyDescent="0.25">
      <c r="F118" s="50" t="str">
        <f t="shared" si="23"/>
        <v/>
      </c>
      <c r="G118" s="50" t="str">
        <f t="shared" si="22"/>
        <v/>
      </c>
    </row>
    <row r="119" spans="6:7" x14ac:dyDescent="0.25">
      <c r="F119" s="50" t="str">
        <f t="shared" si="23"/>
        <v/>
      </c>
      <c r="G119" s="50" t="str">
        <f t="shared" si="22"/>
        <v/>
      </c>
    </row>
    <row r="120" spans="6:7" x14ac:dyDescent="0.25">
      <c r="F120" s="50" t="str">
        <f t="shared" si="23"/>
        <v/>
      </c>
      <c r="G120" s="50" t="str">
        <f t="shared" si="22"/>
        <v/>
      </c>
    </row>
    <row r="121" spans="6:7" x14ac:dyDescent="0.25">
      <c r="F121" s="50" t="str">
        <f t="shared" si="23"/>
        <v/>
      </c>
      <c r="G121" s="50" t="str">
        <f t="shared" si="22"/>
        <v/>
      </c>
    </row>
    <row r="122" spans="6:7" x14ac:dyDescent="0.25">
      <c r="F122" s="50" t="str">
        <f t="shared" si="23"/>
        <v/>
      </c>
      <c r="G122" s="50"/>
    </row>
    <row r="123" spans="6:7" x14ac:dyDescent="0.25">
      <c r="F123" s="50" t="str">
        <f t="shared" si="23"/>
        <v/>
      </c>
      <c r="G123" s="50" t="str">
        <f t="shared" ref="G123:G157" si="24">IF(C$8="Phase based",IF(C123="","",(C$9/C$10)*C123),IF(D123="","",(D123/E123)))</f>
        <v/>
      </c>
    </row>
    <row r="124" spans="6:7" x14ac:dyDescent="0.25">
      <c r="F124" s="50" t="str">
        <f t="shared" si="23"/>
        <v/>
      </c>
      <c r="G124" s="50" t="str">
        <f t="shared" si="24"/>
        <v/>
      </c>
    </row>
    <row r="125" spans="6:7" x14ac:dyDescent="0.25">
      <c r="F125" s="50" t="str">
        <f t="shared" si="23"/>
        <v/>
      </c>
      <c r="G125" s="50" t="str">
        <f t="shared" si="24"/>
        <v/>
      </c>
    </row>
    <row r="126" spans="6:7" x14ac:dyDescent="0.25">
      <c r="F126" s="50" t="str">
        <f t="shared" si="23"/>
        <v/>
      </c>
      <c r="G126" s="50" t="str">
        <f t="shared" si="24"/>
        <v/>
      </c>
    </row>
    <row r="127" spans="6:7" x14ac:dyDescent="0.25">
      <c r="F127" s="50" t="str">
        <f t="shared" si="23"/>
        <v/>
      </c>
      <c r="G127" s="50" t="str">
        <f t="shared" si="24"/>
        <v/>
      </c>
    </row>
    <row r="128" spans="6:7" x14ac:dyDescent="0.25">
      <c r="F128" s="50" t="str">
        <f t="shared" si="23"/>
        <v/>
      </c>
      <c r="G128" s="50" t="str">
        <f t="shared" si="24"/>
        <v/>
      </c>
    </row>
    <row r="129" spans="6:7" x14ac:dyDescent="0.25">
      <c r="F129" s="50" t="str">
        <f t="shared" si="23"/>
        <v/>
      </c>
      <c r="G129" s="50" t="str">
        <f t="shared" si="24"/>
        <v/>
      </c>
    </row>
    <row r="130" spans="6:7" x14ac:dyDescent="0.25">
      <c r="F130" s="50" t="str">
        <f t="shared" si="23"/>
        <v/>
      </c>
      <c r="G130" s="50" t="str">
        <f t="shared" si="24"/>
        <v/>
      </c>
    </row>
    <row r="131" spans="6:7" x14ac:dyDescent="0.25">
      <c r="F131" s="50" t="str">
        <f t="shared" si="23"/>
        <v/>
      </c>
      <c r="G131" s="50" t="str">
        <f t="shared" si="24"/>
        <v/>
      </c>
    </row>
    <row r="132" spans="6:7" x14ac:dyDescent="0.25">
      <c r="F132" s="50" t="str">
        <f t="shared" si="23"/>
        <v/>
      </c>
      <c r="G132" s="50" t="str">
        <f t="shared" si="24"/>
        <v/>
      </c>
    </row>
    <row r="133" spans="6:7" x14ac:dyDescent="0.25">
      <c r="F133" s="50" t="str">
        <f t="shared" si="23"/>
        <v/>
      </c>
      <c r="G133" s="50" t="str">
        <f t="shared" si="24"/>
        <v/>
      </c>
    </row>
    <row r="134" spans="6:7" x14ac:dyDescent="0.25">
      <c r="F134" s="50" t="str">
        <f t="shared" si="23"/>
        <v/>
      </c>
      <c r="G134" s="50" t="str">
        <f t="shared" si="24"/>
        <v/>
      </c>
    </row>
    <row r="135" spans="6:7" x14ac:dyDescent="0.25">
      <c r="F135" s="50" t="str">
        <f t="shared" si="23"/>
        <v/>
      </c>
      <c r="G135" s="50" t="str">
        <f t="shared" si="24"/>
        <v/>
      </c>
    </row>
    <row r="136" spans="6:7" x14ac:dyDescent="0.25">
      <c r="F136" s="50" t="str">
        <f t="shared" si="23"/>
        <v/>
      </c>
      <c r="G136" s="50" t="str">
        <f t="shared" si="24"/>
        <v/>
      </c>
    </row>
    <row r="137" spans="6:7" x14ac:dyDescent="0.25">
      <c r="F137" s="50" t="str">
        <f t="shared" si="23"/>
        <v/>
      </c>
      <c r="G137" s="50" t="str">
        <f t="shared" si="24"/>
        <v/>
      </c>
    </row>
    <row r="138" spans="6:7" x14ac:dyDescent="0.25">
      <c r="F138" s="50" t="str">
        <f t="shared" si="23"/>
        <v/>
      </c>
      <c r="G138" s="50" t="str">
        <f t="shared" si="24"/>
        <v/>
      </c>
    </row>
    <row r="139" spans="6:7" x14ac:dyDescent="0.25">
      <c r="F139" s="50" t="str">
        <f t="shared" si="23"/>
        <v/>
      </c>
      <c r="G139" s="50" t="str">
        <f t="shared" si="24"/>
        <v/>
      </c>
    </row>
    <row r="140" spans="6:7" x14ac:dyDescent="0.25">
      <c r="F140" s="50" t="str">
        <f t="shared" si="23"/>
        <v/>
      </c>
      <c r="G140" s="50" t="str">
        <f t="shared" si="24"/>
        <v/>
      </c>
    </row>
    <row r="141" spans="6:7" x14ac:dyDescent="0.25">
      <c r="F141" s="50" t="str">
        <f t="shared" si="23"/>
        <v/>
      </c>
      <c r="G141" s="50" t="str">
        <f t="shared" si="24"/>
        <v/>
      </c>
    </row>
    <row r="142" spans="6:7" x14ac:dyDescent="0.25">
      <c r="F142" s="50" t="str">
        <f t="shared" si="23"/>
        <v/>
      </c>
      <c r="G142" s="50" t="str">
        <f t="shared" si="24"/>
        <v/>
      </c>
    </row>
    <row r="143" spans="6:7" x14ac:dyDescent="0.25">
      <c r="F143" s="50" t="str">
        <f t="shared" si="23"/>
        <v/>
      </c>
      <c r="G143" s="50" t="str">
        <f t="shared" si="24"/>
        <v/>
      </c>
    </row>
    <row r="144" spans="6:7" x14ac:dyDescent="0.25">
      <c r="F144" s="50" t="str">
        <f t="shared" si="23"/>
        <v/>
      </c>
      <c r="G144" s="50" t="str">
        <f t="shared" si="24"/>
        <v/>
      </c>
    </row>
    <row r="145" spans="6:7" x14ac:dyDescent="0.25">
      <c r="F145" s="50" t="str">
        <f t="shared" si="23"/>
        <v/>
      </c>
      <c r="G145" s="50" t="str">
        <f t="shared" si="24"/>
        <v/>
      </c>
    </row>
    <row r="146" spans="6:7" x14ac:dyDescent="0.25">
      <c r="F146" s="50" t="str">
        <f t="shared" si="23"/>
        <v/>
      </c>
      <c r="G146" s="50" t="str">
        <f t="shared" si="24"/>
        <v/>
      </c>
    </row>
    <row r="147" spans="6:7" x14ac:dyDescent="0.25">
      <c r="F147" s="50" t="str">
        <f t="shared" si="23"/>
        <v/>
      </c>
      <c r="G147" s="50" t="str">
        <f t="shared" si="24"/>
        <v/>
      </c>
    </row>
    <row r="148" spans="6:7" x14ac:dyDescent="0.25">
      <c r="F148" s="50" t="str">
        <f t="shared" si="23"/>
        <v/>
      </c>
      <c r="G148" s="50" t="str">
        <f t="shared" si="24"/>
        <v/>
      </c>
    </row>
    <row r="149" spans="6:7" x14ac:dyDescent="0.25">
      <c r="F149" s="50" t="str">
        <f t="shared" si="23"/>
        <v/>
      </c>
      <c r="G149" s="50" t="str">
        <f t="shared" si="24"/>
        <v/>
      </c>
    </row>
    <row r="150" spans="6:7" x14ac:dyDescent="0.25">
      <c r="F150" s="50" t="str">
        <f t="shared" si="23"/>
        <v/>
      </c>
      <c r="G150" s="50" t="str">
        <f t="shared" si="24"/>
        <v/>
      </c>
    </row>
    <row r="151" spans="6:7" x14ac:dyDescent="0.25">
      <c r="F151" s="50" t="str">
        <f t="shared" si="23"/>
        <v/>
      </c>
      <c r="G151" s="50" t="str">
        <f t="shared" si="24"/>
        <v/>
      </c>
    </row>
    <row r="152" spans="6:7" x14ac:dyDescent="0.25">
      <c r="F152" s="50" t="str">
        <f t="shared" si="23"/>
        <v/>
      </c>
      <c r="G152" s="50" t="str">
        <f t="shared" si="24"/>
        <v/>
      </c>
    </row>
    <row r="153" spans="6:7" x14ac:dyDescent="0.25">
      <c r="F153" s="50" t="str">
        <f t="shared" si="23"/>
        <v/>
      </c>
      <c r="G153" s="50" t="str">
        <f t="shared" si="24"/>
        <v/>
      </c>
    </row>
    <row r="154" spans="6:7" x14ac:dyDescent="0.25">
      <c r="F154" s="50" t="str">
        <f t="shared" si="23"/>
        <v/>
      </c>
      <c r="G154" s="50" t="str">
        <f t="shared" si="24"/>
        <v/>
      </c>
    </row>
    <row r="155" spans="6:7" x14ac:dyDescent="0.25">
      <c r="F155" s="50" t="str">
        <f t="shared" si="23"/>
        <v/>
      </c>
      <c r="G155" s="50" t="str">
        <f t="shared" si="24"/>
        <v/>
      </c>
    </row>
    <row r="156" spans="6:7" x14ac:dyDescent="0.25">
      <c r="F156" s="50" t="str">
        <f t="shared" si="23"/>
        <v/>
      </c>
      <c r="G156" s="50" t="str">
        <f t="shared" si="24"/>
        <v/>
      </c>
    </row>
    <row r="157" spans="6:7" x14ac:dyDescent="0.25">
      <c r="F157" s="50" t="str">
        <f t="shared" si="23"/>
        <v/>
      </c>
      <c r="G157" s="50" t="str">
        <f t="shared" si="24"/>
        <v/>
      </c>
    </row>
    <row r="158" spans="6:7" x14ac:dyDescent="0.25">
      <c r="F158" s="50" t="str">
        <f t="shared" si="23"/>
        <v/>
      </c>
      <c r="G158" s="50"/>
    </row>
    <row r="159" spans="6:7" x14ac:dyDescent="0.25">
      <c r="F159" s="50" t="str">
        <f t="shared" si="23"/>
        <v/>
      </c>
      <c r="G159" s="50" t="str">
        <f t="shared" ref="G159:G193" si="25">IF(C$8="Phase based",IF(C159="","",(C$9/C$10)*C159),IF(D159="","",(D159/E159)))</f>
        <v/>
      </c>
    </row>
    <row r="160" spans="6:7" x14ac:dyDescent="0.25">
      <c r="F160" s="50" t="str">
        <f t="shared" si="23"/>
        <v/>
      </c>
      <c r="G160" s="50" t="str">
        <f t="shared" si="25"/>
        <v/>
      </c>
    </row>
    <row r="161" spans="6:7" x14ac:dyDescent="0.25">
      <c r="F161" s="50" t="str">
        <f t="shared" si="23"/>
        <v/>
      </c>
      <c r="G161" s="50" t="str">
        <f t="shared" si="25"/>
        <v/>
      </c>
    </row>
    <row r="162" spans="6:7" x14ac:dyDescent="0.25">
      <c r="F162" s="50" t="str">
        <f t="shared" si="23"/>
        <v/>
      </c>
      <c r="G162" s="50" t="str">
        <f t="shared" si="25"/>
        <v/>
      </c>
    </row>
    <row r="163" spans="6:7" x14ac:dyDescent="0.25">
      <c r="F163" s="50" t="str">
        <f t="shared" si="23"/>
        <v/>
      </c>
      <c r="G163" s="50" t="str">
        <f t="shared" si="25"/>
        <v/>
      </c>
    </row>
    <row r="164" spans="6:7" x14ac:dyDescent="0.25">
      <c r="F164" s="50" t="str">
        <f t="shared" si="23"/>
        <v/>
      </c>
      <c r="G164" s="50" t="str">
        <f t="shared" si="25"/>
        <v/>
      </c>
    </row>
    <row r="165" spans="6:7" x14ac:dyDescent="0.25">
      <c r="F165" s="50" t="str">
        <f t="shared" si="23"/>
        <v/>
      </c>
      <c r="G165" s="50" t="str">
        <f t="shared" si="25"/>
        <v/>
      </c>
    </row>
    <row r="166" spans="6:7" x14ac:dyDescent="0.25">
      <c r="F166" s="50" t="str">
        <f t="shared" si="23"/>
        <v/>
      </c>
      <c r="G166" s="50" t="str">
        <f t="shared" si="25"/>
        <v/>
      </c>
    </row>
    <row r="167" spans="6:7" x14ac:dyDescent="0.25">
      <c r="F167" s="50" t="str">
        <f t="shared" si="23"/>
        <v/>
      </c>
      <c r="G167" s="50" t="str">
        <f t="shared" si="25"/>
        <v/>
      </c>
    </row>
    <row r="168" spans="6:7" x14ac:dyDescent="0.25">
      <c r="F168" s="50" t="str">
        <f t="shared" si="23"/>
        <v/>
      </c>
      <c r="G168" s="50" t="str">
        <f t="shared" si="25"/>
        <v/>
      </c>
    </row>
    <row r="169" spans="6:7" x14ac:dyDescent="0.25">
      <c r="F169" s="50" t="str">
        <f t="shared" si="23"/>
        <v/>
      </c>
      <c r="G169" s="50" t="str">
        <f t="shared" si="25"/>
        <v/>
      </c>
    </row>
    <row r="170" spans="6:7" x14ac:dyDescent="0.25">
      <c r="F170" s="50" t="str">
        <f t="shared" si="23"/>
        <v/>
      </c>
      <c r="G170" s="50" t="str">
        <f t="shared" si="25"/>
        <v/>
      </c>
    </row>
    <row r="171" spans="6:7" x14ac:dyDescent="0.25">
      <c r="F171" s="50" t="str">
        <f t="shared" si="23"/>
        <v/>
      </c>
      <c r="G171" s="50" t="str">
        <f t="shared" si="25"/>
        <v/>
      </c>
    </row>
    <row r="172" spans="6:7" x14ac:dyDescent="0.25">
      <c r="F172" s="50" t="str">
        <f t="shared" si="23"/>
        <v/>
      </c>
      <c r="G172" s="50" t="str">
        <f t="shared" si="25"/>
        <v/>
      </c>
    </row>
    <row r="173" spans="6:7" x14ac:dyDescent="0.25">
      <c r="F173" s="50" t="str">
        <f t="shared" si="23"/>
        <v/>
      </c>
      <c r="G173" s="50" t="str">
        <f t="shared" si="25"/>
        <v/>
      </c>
    </row>
    <row r="174" spans="6:7" x14ac:dyDescent="0.25">
      <c r="F174" s="50" t="str">
        <f t="shared" si="23"/>
        <v/>
      </c>
      <c r="G174" s="50" t="str">
        <f t="shared" si="25"/>
        <v/>
      </c>
    </row>
    <row r="175" spans="6:7" x14ac:dyDescent="0.25">
      <c r="F175" s="50" t="str">
        <f t="shared" si="23"/>
        <v/>
      </c>
      <c r="G175" s="50" t="str">
        <f t="shared" si="25"/>
        <v/>
      </c>
    </row>
    <row r="176" spans="6:7" x14ac:dyDescent="0.25">
      <c r="F176" s="50" t="str">
        <f t="shared" si="23"/>
        <v/>
      </c>
      <c r="G176" s="50" t="str">
        <f t="shared" si="25"/>
        <v/>
      </c>
    </row>
    <row r="177" spans="6:7" x14ac:dyDescent="0.25">
      <c r="F177" s="50" t="str">
        <f t="shared" si="23"/>
        <v/>
      </c>
      <c r="G177" s="50" t="str">
        <f t="shared" si="25"/>
        <v/>
      </c>
    </row>
    <row r="178" spans="6:7" x14ac:dyDescent="0.25">
      <c r="F178" s="50" t="str">
        <f t="shared" si="23"/>
        <v/>
      </c>
      <c r="G178" s="50" t="str">
        <f t="shared" si="25"/>
        <v/>
      </c>
    </row>
    <row r="179" spans="6:7" x14ac:dyDescent="0.25">
      <c r="F179" s="50" t="str">
        <f t="shared" si="23"/>
        <v/>
      </c>
      <c r="G179" s="50" t="str">
        <f t="shared" si="25"/>
        <v/>
      </c>
    </row>
    <row r="180" spans="6:7" x14ac:dyDescent="0.25">
      <c r="F180" s="50" t="str">
        <f t="shared" ref="F180:F243" si="26">IF($C$8="Phase based",IF(C180="","",$C$9*C180),IF(D180="","",D180))</f>
        <v/>
      </c>
      <c r="G180" s="50" t="str">
        <f t="shared" si="25"/>
        <v/>
      </c>
    </row>
    <row r="181" spans="6:7" x14ac:dyDescent="0.25">
      <c r="F181" s="50" t="str">
        <f t="shared" si="26"/>
        <v/>
      </c>
      <c r="G181" s="50" t="str">
        <f t="shared" si="25"/>
        <v/>
      </c>
    </row>
    <row r="182" spans="6:7" x14ac:dyDescent="0.25">
      <c r="F182" s="50" t="str">
        <f t="shared" si="26"/>
        <v/>
      </c>
      <c r="G182" s="50" t="str">
        <f t="shared" si="25"/>
        <v/>
      </c>
    </row>
    <row r="183" spans="6:7" x14ac:dyDescent="0.25">
      <c r="F183" s="50" t="str">
        <f t="shared" si="26"/>
        <v/>
      </c>
      <c r="G183" s="50" t="str">
        <f t="shared" si="25"/>
        <v/>
      </c>
    </row>
    <row r="184" spans="6:7" x14ac:dyDescent="0.25">
      <c r="F184" s="50" t="str">
        <f t="shared" si="26"/>
        <v/>
      </c>
      <c r="G184" s="50" t="str">
        <f t="shared" si="25"/>
        <v/>
      </c>
    </row>
    <row r="185" spans="6:7" x14ac:dyDescent="0.25">
      <c r="F185" s="50" t="str">
        <f t="shared" si="26"/>
        <v/>
      </c>
      <c r="G185" s="50" t="str">
        <f t="shared" si="25"/>
        <v/>
      </c>
    </row>
    <row r="186" spans="6:7" x14ac:dyDescent="0.25">
      <c r="F186" s="50" t="str">
        <f t="shared" si="26"/>
        <v/>
      </c>
      <c r="G186" s="50" t="str">
        <f t="shared" si="25"/>
        <v/>
      </c>
    </row>
    <row r="187" spans="6:7" x14ac:dyDescent="0.25">
      <c r="F187" s="50" t="str">
        <f t="shared" si="26"/>
        <v/>
      </c>
      <c r="G187" s="50" t="str">
        <f t="shared" si="25"/>
        <v/>
      </c>
    </row>
    <row r="188" spans="6:7" x14ac:dyDescent="0.25">
      <c r="F188" s="50" t="str">
        <f t="shared" si="26"/>
        <v/>
      </c>
      <c r="G188" s="50" t="str">
        <f t="shared" si="25"/>
        <v/>
      </c>
    </row>
    <row r="189" spans="6:7" x14ac:dyDescent="0.25">
      <c r="F189" s="50" t="str">
        <f t="shared" si="26"/>
        <v/>
      </c>
      <c r="G189" s="50" t="str">
        <f t="shared" si="25"/>
        <v/>
      </c>
    </row>
    <row r="190" spans="6:7" x14ac:dyDescent="0.25">
      <c r="F190" s="50" t="str">
        <f t="shared" si="26"/>
        <v/>
      </c>
      <c r="G190" s="50" t="str">
        <f t="shared" si="25"/>
        <v/>
      </c>
    </row>
    <row r="191" spans="6:7" x14ac:dyDescent="0.25">
      <c r="F191" s="50" t="str">
        <f t="shared" si="26"/>
        <v/>
      </c>
      <c r="G191" s="50" t="str">
        <f t="shared" si="25"/>
        <v/>
      </c>
    </row>
    <row r="192" spans="6:7" x14ac:dyDescent="0.25">
      <c r="F192" s="50" t="str">
        <f t="shared" si="26"/>
        <v/>
      </c>
      <c r="G192" s="50" t="str">
        <f t="shared" si="25"/>
        <v/>
      </c>
    </row>
    <row r="193" spans="6:7" x14ac:dyDescent="0.25">
      <c r="F193" s="50" t="str">
        <f t="shared" si="26"/>
        <v/>
      </c>
      <c r="G193" s="50" t="str">
        <f t="shared" si="25"/>
        <v/>
      </c>
    </row>
    <row r="194" spans="6:7" x14ac:dyDescent="0.25">
      <c r="F194" s="50" t="str">
        <f t="shared" si="26"/>
        <v/>
      </c>
      <c r="G194" s="50"/>
    </row>
    <row r="195" spans="6:7" x14ac:dyDescent="0.25">
      <c r="F195" s="50" t="str">
        <f t="shared" si="26"/>
        <v/>
      </c>
      <c r="G195" s="50" t="str">
        <f t="shared" ref="G195:G229" si="27">IF(C$8="Phase based",IF(C195="","",(C$9/C$10)*C195),IF(D195="","",(D195/E195)))</f>
        <v/>
      </c>
    </row>
    <row r="196" spans="6:7" x14ac:dyDescent="0.25">
      <c r="F196" s="50" t="str">
        <f t="shared" si="26"/>
        <v/>
      </c>
      <c r="G196" s="50" t="str">
        <f t="shared" si="27"/>
        <v/>
      </c>
    </row>
    <row r="197" spans="6:7" x14ac:dyDescent="0.25">
      <c r="F197" s="50" t="str">
        <f t="shared" si="26"/>
        <v/>
      </c>
      <c r="G197" s="50" t="str">
        <f t="shared" si="27"/>
        <v/>
      </c>
    </row>
    <row r="198" spans="6:7" x14ac:dyDescent="0.25">
      <c r="F198" s="50" t="str">
        <f t="shared" si="26"/>
        <v/>
      </c>
      <c r="G198" s="50" t="str">
        <f t="shared" si="27"/>
        <v/>
      </c>
    </row>
    <row r="199" spans="6:7" x14ac:dyDescent="0.25">
      <c r="F199" s="50" t="str">
        <f t="shared" si="26"/>
        <v/>
      </c>
      <c r="G199" s="50" t="str">
        <f t="shared" si="27"/>
        <v/>
      </c>
    </row>
    <row r="200" spans="6:7" x14ac:dyDescent="0.25">
      <c r="F200" s="50" t="str">
        <f t="shared" si="26"/>
        <v/>
      </c>
      <c r="G200" s="50" t="str">
        <f t="shared" si="27"/>
        <v/>
      </c>
    </row>
    <row r="201" spans="6:7" x14ac:dyDescent="0.25">
      <c r="F201" s="50" t="str">
        <f t="shared" si="26"/>
        <v/>
      </c>
      <c r="G201" s="50" t="str">
        <f t="shared" si="27"/>
        <v/>
      </c>
    </row>
    <row r="202" spans="6:7" x14ac:dyDescent="0.25">
      <c r="F202" s="50" t="str">
        <f t="shared" si="26"/>
        <v/>
      </c>
      <c r="G202" s="50" t="str">
        <f t="shared" si="27"/>
        <v/>
      </c>
    </row>
    <row r="203" spans="6:7" x14ac:dyDescent="0.25">
      <c r="F203" s="50" t="str">
        <f t="shared" si="26"/>
        <v/>
      </c>
      <c r="G203" s="50" t="str">
        <f t="shared" si="27"/>
        <v/>
      </c>
    </row>
    <row r="204" spans="6:7" x14ac:dyDescent="0.25">
      <c r="F204" s="50" t="str">
        <f t="shared" si="26"/>
        <v/>
      </c>
      <c r="G204" s="50" t="str">
        <f t="shared" si="27"/>
        <v/>
      </c>
    </row>
    <row r="205" spans="6:7" x14ac:dyDescent="0.25">
      <c r="F205" s="50" t="str">
        <f t="shared" si="26"/>
        <v/>
      </c>
      <c r="G205" s="50" t="str">
        <f t="shared" si="27"/>
        <v/>
      </c>
    </row>
    <row r="206" spans="6:7" x14ac:dyDescent="0.25">
      <c r="F206" s="50" t="str">
        <f t="shared" si="26"/>
        <v/>
      </c>
      <c r="G206" s="50" t="str">
        <f t="shared" si="27"/>
        <v/>
      </c>
    </row>
    <row r="207" spans="6:7" x14ac:dyDescent="0.25">
      <c r="F207" s="50" t="str">
        <f t="shared" si="26"/>
        <v/>
      </c>
      <c r="G207" s="50" t="str">
        <f t="shared" si="27"/>
        <v/>
      </c>
    </row>
    <row r="208" spans="6:7" x14ac:dyDescent="0.25">
      <c r="F208" s="50" t="str">
        <f t="shared" si="26"/>
        <v/>
      </c>
      <c r="G208" s="50" t="str">
        <f t="shared" si="27"/>
        <v/>
      </c>
    </row>
    <row r="209" spans="6:7" x14ac:dyDescent="0.25">
      <c r="F209" s="50" t="str">
        <f t="shared" si="26"/>
        <v/>
      </c>
      <c r="G209" s="50" t="str">
        <f t="shared" si="27"/>
        <v/>
      </c>
    </row>
    <row r="210" spans="6:7" x14ac:dyDescent="0.25">
      <c r="F210" s="50" t="str">
        <f t="shared" si="26"/>
        <v/>
      </c>
      <c r="G210" s="50" t="str">
        <f t="shared" si="27"/>
        <v/>
      </c>
    </row>
    <row r="211" spans="6:7" x14ac:dyDescent="0.25">
      <c r="F211" s="50" t="str">
        <f t="shared" si="26"/>
        <v/>
      </c>
      <c r="G211" s="50" t="str">
        <f t="shared" si="27"/>
        <v/>
      </c>
    </row>
    <row r="212" spans="6:7" x14ac:dyDescent="0.25">
      <c r="F212" s="50" t="str">
        <f t="shared" si="26"/>
        <v/>
      </c>
      <c r="G212" s="50" t="str">
        <f t="shared" si="27"/>
        <v/>
      </c>
    </row>
    <row r="213" spans="6:7" x14ac:dyDescent="0.25">
      <c r="F213" s="50" t="str">
        <f t="shared" si="26"/>
        <v/>
      </c>
      <c r="G213" s="50" t="str">
        <f t="shared" si="27"/>
        <v/>
      </c>
    </row>
    <row r="214" spans="6:7" x14ac:dyDescent="0.25">
      <c r="F214" s="50" t="str">
        <f t="shared" si="26"/>
        <v/>
      </c>
      <c r="G214" s="50" t="str">
        <f t="shared" si="27"/>
        <v/>
      </c>
    </row>
    <row r="215" spans="6:7" x14ac:dyDescent="0.25">
      <c r="F215" s="50" t="str">
        <f t="shared" si="26"/>
        <v/>
      </c>
      <c r="G215" s="50" t="str">
        <f t="shared" si="27"/>
        <v/>
      </c>
    </row>
    <row r="216" spans="6:7" x14ac:dyDescent="0.25">
      <c r="F216" s="50" t="str">
        <f t="shared" si="26"/>
        <v/>
      </c>
      <c r="G216" s="50" t="str">
        <f t="shared" si="27"/>
        <v/>
      </c>
    </row>
    <row r="217" spans="6:7" x14ac:dyDescent="0.25">
      <c r="F217" s="50" t="str">
        <f t="shared" si="26"/>
        <v/>
      </c>
      <c r="G217" s="50" t="str">
        <f t="shared" si="27"/>
        <v/>
      </c>
    </row>
    <row r="218" spans="6:7" x14ac:dyDescent="0.25">
      <c r="F218" s="50" t="str">
        <f t="shared" si="26"/>
        <v/>
      </c>
      <c r="G218" s="50" t="str">
        <f t="shared" si="27"/>
        <v/>
      </c>
    </row>
    <row r="219" spans="6:7" x14ac:dyDescent="0.25">
      <c r="F219" s="50" t="str">
        <f t="shared" si="26"/>
        <v/>
      </c>
      <c r="G219" s="50" t="str">
        <f t="shared" si="27"/>
        <v/>
      </c>
    </row>
    <row r="220" spans="6:7" x14ac:dyDescent="0.25">
      <c r="F220" s="50" t="str">
        <f t="shared" si="26"/>
        <v/>
      </c>
      <c r="G220" s="50" t="str">
        <f t="shared" si="27"/>
        <v/>
      </c>
    </row>
    <row r="221" spans="6:7" x14ac:dyDescent="0.25">
      <c r="F221" s="50" t="str">
        <f t="shared" si="26"/>
        <v/>
      </c>
      <c r="G221" s="50" t="str">
        <f t="shared" si="27"/>
        <v/>
      </c>
    </row>
    <row r="222" spans="6:7" x14ac:dyDescent="0.25">
      <c r="F222" s="50" t="str">
        <f t="shared" si="26"/>
        <v/>
      </c>
      <c r="G222" s="50" t="str">
        <f t="shared" si="27"/>
        <v/>
      </c>
    </row>
    <row r="223" spans="6:7" x14ac:dyDescent="0.25">
      <c r="F223" s="50" t="str">
        <f t="shared" si="26"/>
        <v/>
      </c>
      <c r="G223" s="50" t="str">
        <f t="shared" si="27"/>
        <v/>
      </c>
    </row>
    <row r="224" spans="6:7" x14ac:dyDescent="0.25">
      <c r="F224" s="50" t="str">
        <f t="shared" si="26"/>
        <v/>
      </c>
      <c r="G224" s="50" t="str">
        <f t="shared" si="27"/>
        <v/>
      </c>
    </row>
    <row r="225" spans="6:7" x14ac:dyDescent="0.25">
      <c r="F225" s="50" t="str">
        <f t="shared" si="26"/>
        <v/>
      </c>
      <c r="G225" s="50" t="str">
        <f t="shared" si="27"/>
        <v/>
      </c>
    </row>
    <row r="226" spans="6:7" x14ac:dyDescent="0.25">
      <c r="F226" s="50" t="str">
        <f t="shared" si="26"/>
        <v/>
      </c>
      <c r="G226" s="50" t="str">
        <f t="shared" si="27"/>
        <v/>
      </c>
    </row>
    <row r="227" spans="6:7" x14ac:dyDescent="0.25">
      <c r="F227" s="50" t="str">
        <f t="shared" si="26"/>
        <v/>
      </c>
      <c r="G227" s="50" t="str">
        <f t="shared" si="27"/>
        <v/>
      </c>
    </row>
    <row r="228" spans="6:7" x14ac:dyDescent="0.25">
      <c r="F228" s="50" t="str">
        <f t="shared" si="26"/>
        <v/>
      </c>
      <c r="G228" s="50" t="str">
        <f t="shared" si="27"/>
        <v/>
      </c>
    </row>
    <row r="229" spans="6:7" x14ac:dyDescent="0.25">
      <c r="F229" s="50" t="str">
        <f t="shared" si="26"/>
        <v/>
      </c>
      <c r="G229" s="50" t="str">
        <f t="shared" si="27"/>
        <v/>
      </c>
    </row>
    <row r="230" spans="6:7" x14ac:dyDescent="0.25">
      <c r="F230" s="50" t="str">
        <f t="shared" si="26"/>
        <v/>
      </c>
      <c r="G230" s="50"/>
    </row>
    <row r="231" spans="6:7" x14ac:dyDescent="0.25">
      <c r="F231" s="50" t="str">
        <f t="shared" si="26"/>
        <v/>
      </c>
      <c r="G231" s="50" t="str">
        <f t="shared" ref="G231:G265" si="28">IF(C$8="Phase based",IF(C231="","",(C$9/C$10)*C231),IF(D231="","",(D231/E231)))</f>
        <v/>
      </c>
    </row>
    <row r="232" spans="6:7" x14ac:dyDescent="0.25">
      <c r="F232" s="50" t="str">
        <f t="shared" si="26"/>
        <v/>
      </c>
      <c r="G232" s="50" t="str">
        <f t="shared" si="28"/>
        <v/>
      </c>
    </row>
    <row r="233" spans="6:7" x14ac:dyDescent="0.25">
      <c r="F233" s="50" t="str">
        <f t="shared" si="26"/>
        <v/>
      </c>
      <c r="G233" s="50" t="str">
        <f t="shared" si="28"/>
        <v/>
      </c>
    </row>
    <row r="234" spans="6:7" x14ac:dyDescent="0.25">
      <c r="F234" s="50" t="str">
        <f t="shared" si="26"/>
        <v/>
      </c>
      <c r="G234" s="50" t="str">
        <f t="shared" si="28"/>
        <v/>
      </c>
    </row>
    <row r="235" spans="6:7" x14ac:dyDescent="0.25">
      <c r="F235" s="50" t="str">
        <f t="shared" si="26"/>
        <v/>
      </c>
      <c r="G235" s="50" t="str">
        <f t="shared" si="28"/>
        <v/>
      </c>
    </row>
    <row r="236" spans="6:7" x14ac:dyDescent="0.25">
      <c r="F236" s="50" t="str">
        <f t="shared" si="26"/>
        <v/>
      </c>
      <c r="G236" s="50" t="str">
        <f t="shared" si="28"/>
        <v/>
      </c>
    </row>
    <row r="237" spans="6:7" x14ac:dyDescent="0.25">
      <c r="F237" s="50" t="str">
        <f t="shared" si="26"/>
        <v/>
      </c>
      <c r="G237" s="50" t="str">
        <f t="shared" si="28"/>
        <v/>
      </c>
    </row>
    <row r="238" spans="6:7" x14ac:dyDescent="0.25">
      <c r="F238" s="50" t="str">
        <f t="shared" si="26"/>
        <v/>
      </c>
      <c r="G238" s="50" t="str">
        <f t="shared" si="28"/>
        <v/>
      </c>
    </row>
    <row r="239" spans="6:7" x14ac:dyDescent="0.25">
      <c r="F239" s="50" t="str">
        <f t="shared" si="26"/>
        <v/>
      </c>
      <c r="G239" s="50" t="str">
        <f t="shared" si="28"/>
        <v/>
      </c>
    </row>
    <row r="240" spans="6:7" x14ac:dyDescent="0.25">
      <c r="F240" s="50" t="str">
        <f t="shared" si="26"/>
        <v/>
      </c>
      <c r="G240" s="50" t="str">
        <f t="shared" si="28"/>
        <v/>
      </c>
    </row>
    <row r="241" spans="6:7" x14ac:dyDescent="0.25">
      <c r="F241" s="50" t="str">
        <f t="shared" si="26"/>
        <v/>
      </c>
      <c r="G241" s="50" t="str">
        <f t="shared" si="28"/>
        <v/>
      </c>
    </row>
    <row r="242" spans="6:7" x14ac:dyDescent="0.25">
      <c r="F242" s="50" t="str">
        <f t="shared" si="26"/>
        <v/>
      </c>
      <c r="G242" s="50" t="str">
        <f t="shared" si="28"/>
        <v/>
      </c>
    </row>
    <row r="243" spans="6:7" x14ac:dyDescent="0.25">
      <c r="F243" s="50" t="str">
        <f t="shared" si="26"/>
        <v/>
      </c>
      <c r="G243" s="50" t="str">
        <f t="shared" si="28"/>
        <v/>
      </c>
    </row>
    <row r="244" spans="6:7" x14ac:dyDescent="0.25">
      <c r="F244" s="50" t="str">
        <f t="shared" ref="F244:F307" si="29">IF($C$8="Phase based",IF(C244="","",$C$9*C244),IF(D244="","",D244))</f>
        <v/>
      </c>
      <c r="G244" s="50" t="str">
        <f t="shared" si="28"/>
        <v/>
      </c>
    </row>
    <row r="245" spans="6:7" x14ac:dyDescent="0.25">
      <c r="F245" s="50" t="str">
        <f t="shared" si="29"/>
        <v/>
      </c>
      <c r="G245" s="50" t="str">
        <f t="shared" si="28"/>
        <v/>
      </c>
    </row>
    <row r="246" spans="6:7" x14ac:dyDescent="0.25">
      <c r="F246" s="50" t="str">
        <f t="shared" si="29"/>
        <v/>
      </c>
      <c r="G246" s="50" t="str">
        <f t="shared" si="28"/>
        <v/>
      </c>
    </row>
    <row r="247" spans="6:7" x14ac:dyDescent="0.25">
      <c r="F247" s="50" t="str">
        <f t="shared" si="29"/>
        <v/>
      </c>
      <c r="G247" s="50" t="str">
        <f t="shared" si="28"/>
        <v/>
      </c>
    </row>
    <row r="248" spans="6:7" x14ac:dyDescent="0.25">
      <c r="F248" s="50" t="str">
        <f t="shared" si="29"/>
        <v/>
      </c>
      <c r="G248" s="50" t="str">
        <f t="shared" si="28"/>
        <v/>
      </c>
    </row>
    <row r="249" spans="6:7" x14ac:dyDescent="0.25">
      <c r="F249" s="50" t="str">
        <f t="shared" si="29"/>
        <v/>
      </c>
      <c r="G249" s="50" t="str">
        <f t="shared" si="28"/>
        <v/>
      </c>
    </row>
    <row r="250" spans="6:7" x14ac:dyDescent="0.25">
      <c r="F250" s="50" t="str">
        <f t="shared" si="29"/>
        <v/>
      </c>
      <c r="G250" s="50" t="str">
        <f t="shared" si="28"/>
        <v/>
      </c>
    </row>
    <row r="251" spans="6:7" x14ac:dyDescent="0.25">
      <c r="F251" s="50" t="str">
        <f t="shared" si="29"/>
        <v/>
      </c>
      <c r="G251" s="50" t="str">
        <f t="shared" si="28"/>
        <v/>
      </c>
    </row>
    <row r="252" spans="6:7" x14ac:dyDescent="0.25">
      <c r="F252" s="50" t="str">
        <f t="shared" si="29"/>
        <v/>
      </c>
      <c r="G252" s="50" t="str">
        <f t="shared" si="28"/>
        <v/>
      </c>
    </row>
    <row r="253" spans="6:7" x14ac:dyDescent="0.25">
      <c r="F253" s="50" t="str">
        <f t="shared" si="29"/>
        <v/>
      </c>
      <c r="G253" s="50" t="str">
        <f t="shared" si="28"/>
        <v/>
      </c>
    </row>
    <row r="254" spans="6:7" x14ac:dyDescent="0.25">
      <c r="F254" s="50" t="str">
        <f t="shared" si="29"/>
        <v/>
      </c>
      <c r="G254" s="50" t="str">
        <f t="shared" si="28"/>
        <v/>
      </c>
    </row>
    <row r="255" spans="6:7" x14ac:dyDescent="0.25">
      <c r="F255" s="50" t="str">
        <f t="shared" si="29"/>
        <v/>
      </c>
      <c r="G255" s="50" t="str">
        <f t="shared" si="28"/>
        <v/>
      </c>
    </row>
    <row r="256" spans="6:7" x14ac:dyDescent="0.25">
      <c r="F256" s="50" t="str">
        <f t="shared" si="29"/>
        <v/>
      </c>
      <c r="G256" s="50" t="str">
        <f t="shared" si="28"/>
        <v/>
      </c>
    </row>
    <row r="257" spans="6:7" x14ac:dyDescent="0.25">
      <c r="F257" s="50" t="str">
        <f t="shared" si="29"/>
        <v/>
      </c>
      <c r="G257" s="50" t="str">
        <f t="shared" si="28"/>
        <v/>
      </c>
    </row>
    <row r="258" spans="6:7" x14ac:dyDescent="0.25">
      <c r="F258" s="50" t="str">
        <f t="shared" si="29"/>
        <v/>
      </c>
      <c r="G258" s="50" t="str">
        <f t="shared" si="28"/>
        <v/>
      </c>
    </row>
    <row r="259" spans="6:7" x14ac:dyDescent="0.25">
      <c r="F259" s="50" t="str">
        <f t="shared" si="29"/>
        <v/>
      </c>
      <c r="G259" s="50" t="str">
        <f t="shared" si="28"/>
        <v/>
      </c>
    </row>
    <row r="260" spans="6:7" x14ac:dyDescent="0.25">
      <c r="F260" s="50" t="str">
        <f t="shared" si="29"/>
        <v/>
      </c>
      <c r="G260" s="50" t="str">
        <f t="shared" si="28"/>
        <v/>
      </c>
    </row>
    <row r="261" spans="6:7" x14ac:dyDescent="0.25">
      <c r="F261" s="50" t="str">
        <f t="shared" si="29"/>
        <v/>
      </c>
      <c r="G261" s="50" t="str">
        <f t="shared" si="28"/>
        <v/>
      </c>
    </row>
    <row r="262" spans="6:7" x14ac:dyDescent="0.25">
      <c r="F262" s="50" t="str">
        <f t="shared" si="29"/>
        <v/>
      </c>
      <c r="G262" s="50" t="str">
        <f t="shared" si="28"/>
        <v/>
      </c>
    </row>
    <row r="263" spans="6:7" x14ac:dyDescent="0.25">
      <c r="F263" s="50" t="str">
        <f t="shared" si="29"/>
        <v/>
      </c>
      <c r="G263" s="50" t="str">
        <f t="shared" si="28"/>
        <v/>
      </c>
    </row>
    <row r="264" spans="6:7" x14ac:dyDescent="0.25">
      <c r="F264" s="50" t="str">
        <f t="shared" si="29"/>
        <v/>
      </c>
      <c r="G264" s="50" t="str">
        <f t="shared" si="28"/>
        <v/>
      </c>
    </row>
    <row r="265" spans="6:7" x14ac:dyDescent="0.25">
      <c r="F265" s="50" t="str">
        <f t="shared" si="29"/>
        <v/>
      </c>
      <c r="G265" s="50" t="str">
        <f t="shared" si="28"/>
        <v/>
      </c>
    </row>
    <row r="266" spans="6:7" x14ac:dyDescent="0.25">
      <c r="F266" s="50" t="str">
        <f t="shared" si="29"/>
        <v/>
      </c>
      <c r="G266" s="50"/>
    </row>
    <row r="267" spans="6:7" x14ac:dyDescent="0.25">
      <c r="F267" s="50" t="str">
        <f t="shared" si="29"/>
        <v/>
      </c>
      <c r="G267" s="50" t="str">
        <f t="shared" ref="G267:G301" si="30">IF(C$8="Phase based",IF(C267="","",(C$9/C$10)*C267),IF(D267="","",(D267/E267)))</f>
        <v/>
      </c>
    </row>
    <row r="268" spans="6:7" x14ac:dyDescent="0.25">
      <c r="F268" s="50" t="str">
        <f t="shared" si="29"/>
        <v/>
      </c>
      <c r="G268" s="50" t="str">
        <f t="shared" si="30"/>
        <v/>
      </c>
    </row>
    <row r="269" spans="6:7" x14ac:dyDescent="0.25">
      <c r="F269" s="50" t="str">
        <f t="shared" si="29"/>
        <v/>
      </c>
      <c r="G269" s="50" t="str">
        <f t="shared" si="30"/>
        <v/>
      </c>
    </row>
    <row r="270" spans="6:7" x14ac:dyDescent="0.25">
      <c r="F270" s="50" t="str">
        <f t="shared" si="29"/>
        <v/>
      </c>
      <c r="G270" s="50" t="str">
        <f t="shared" si="30"/>
        <v/>
      </c>
    </row>
    <row r="271" spans="6:7" x14ac:dyDescent="0.25">
      <c r="F271" s="50" t="str">
        <f t="shared" si="29"/>
        <v/>
      </c>
      <c r="G271" s="50" t="str">
        <f t="shared" si="30"/>
        <v/>
      </c>
    </row>
    <row r="272" spans="6:7" x14ac:dyDescent="0.25">
      <c r="F272" s="50" t="str">
        <f t="shared" si="29"/>
        <v/>
      </c>
      <c r="G272" s="50" t="str">
        <f t="shared" si="30"/>
        <v/>
      </c>
    </row>
    <row r="273" spans="6:7" x14ac:dyDescent="0.25">
      <c r="F273" s="50" t="str">
        <f t="shared" si="29"/>
        <v/>
      </c>
      <c r="G273" s="50" t="str">
        <f t="shared" si="30"/>
        <v/>
      </c>
    </row>
    <row r="274" spans="6:7" x14ac:dyDescent="0.25">
      <c r="F274" s="50" t="str">
        <f t="shared" si="29"/>
        <v/>
      </c>
      <c r="G274" s="50" t="str">
        <f t="shared" si="30"/>
        <v/>
      </c>
    </row>
    <row r="275" spans="6:7" x14ac:dyDescent="0.25">
      <c r="F275" s="50" t="str">
        <f t="shared" si="29"/>
        <v/>
      </c>
      <c r="G275" s="50" t="str">
        <f t="shared" si="30"/>
        <v/>
      </c>
    </row>
    <row r="276" spans="6:7" x14ac:dyDescent="0.25">
      <c r="F276" s="50" t="str">
        <f t="shared" si="29"/>
        <v/>
      </c>
      <c r="G276" s="50" t="str">
        <f t="shared" si="30"/>
        <v/>
      </c>
    </row>
    <row r="277" spans="6:7" x14ac:dyDescent="0.25">
      <c r="F277" s="50" t="str">
        <f t="shared" si="29"/>
        <v/>
      </c>
      <c r="G277" s="50" t="str">
        <f t="shared" si="30"/>
        <v/>
      </c>
    </row>
    <row r="278" spans="6:7" x14ac:dyDescent="0.25">
      <c r="F278" s="50" t="str">
        <f t="shared" si="29"/>
        <v/>
      </c>
      <c r="G278" s="50" t="str">
        <f t="shared" si="30"/>
        <v/>
      </c>
    </row>
    <row r="279" spans="6:7" x14ac:dyDescent="0.25">
      <c r="F279" s="50" t="str">
        <f t="shared" si="29"/>
        <v/>
      </c>
      <c r="G279" s="50" t="str">
        <f t="shared" si="30"/>
        <v/>
      </c>
    </row>
    <row r="280" spans="6:7" x14ac:dyDescent="0.25">
      <c r="F280" s="50" t="str">
        <f t="shared" si="29"/>
        <v/>
      </c>
      <c r="G280" s="50" t="str">
        <f t="shared" si="30"/>
        <v/>
      </c>
    </row>
    <row r="281" spans="6:7" x14ac:dyDescent="0.25">
      <c r="F281" s="50" t="str">
        <f t="shared" si="29"/>
        <v/>
      </c>
      <c r="G281" s="50" t="str">
        <f t="shared" si="30"/>
        <v/>
      </c>
    </row>
    <row r="282" spans="6:7" x14ac:dyDescent="0.25">
      <c r="F282" s="50" t="str">
        <f t="shared" si="29"/>
        <v/>
      </c>
      <c r="G282" s="50" t="str">
        <f t="shared" si="30"/>
        <v/>
      </c>
    </row>
    <row r="283" spans="6:7" x14ac:dyDescent="0.25">
      <c r="F283" s="50" t="str">
        <f t="shared" si="29"/>
        <v/>
      </c>
      <c r="G283" s="50" t="str">
        <f t="shared" si="30"/>
        <v/>
      </c>
    </row>
    <row r="284" spans="6:7" x14ac:dyDescent="0.25">
      <c r="F284" s="50" t="str">
        <f t="shared" si="29"/>
        <v/>
      </c>
      <c r="G284" s="50" t="str">
        <f t="shared" si="30"/>
        <v/>
      </c>
    </row>
    <row r="285" spans="6:7" x14ac:dyDescent="0.25">
      <c r="F285" s="50" t="str">
        <f t="shared" si="29"/>
        <v/>
      </c>
      <c r="G285" s="50" t="str">
        <f t="shared" si="30"/>
        <v/>
      </c>
    </row>
    <row r="286" spans="6:7" x14ac:dyDescent="0.25">
      <c r="F286" s="50" t="str">
        <f t="shared" si="29"/>
        <v/>
      </c>
      <c r="G286" s="50" t="str">
        <f t="shared" si="30"/>
        <v/>
      </c>
    </row>
    <row r="287" spans="6:7" x14ac:dyDescent="0.25">
      <c r="F287" s="50" t="str">
        <f t="shared" si="29"/>
        <v/>
      </c>
      <c r="G287" s="50" t="str">
        <f t="shared" si="30"/>
        <v/>
      </c>
    </row>
    <row r="288" spans="6:7" x14ac:dyDescent="0.25">
      <c r="F288" s="50" t="str">
        <f t="shared" si="29"/>
        <v/>
      </c>
      <c r="G288" s="50" t="str">
        <f t="shared" si="30"/>
        <v/>
      </c>
    </row>
    <row r="289" spans="6:7" x14ac:dyDescent="0.25">
      <c r="F289" s="50" t="str">
        <f t="shared" si="29"/>
        <v/>
      </c>
      <c r="G289" s="50" t="str">
        <f t="shared" si="30"/>
        <v/>
      </c>
    </row>
    <row r="290" spans="6:7" x14ac:dyDescent="0.25">
      <c r="F290" s="50" t="str">
        <f t="shared" si="29"/>
        <v/>
      </c>
      <c r="G290" s="50" t="str">
        <f t="shared" si="30"/>
        <v/>
      </c>
    </row>
    <row r="291" spans="6:7" x14ac:dyDescent="0.25">
      <c r="F291" s="50" t="str">
        <f t="shared" si="29"/>
        <v/>
      </c>
      <c r="G291" s="50" t="str">
        <f t="shared" si="30"/>
        <v/>
      </c>
    </row>
    <row r="292" spans="6:7" x14ac:dyDescent="0.25">
      <c r="F292" s="50" t="str">
        <f t="shared" si="29"/>
        <v/>
      </c>
      <c r="G292" s="50" t="str">
        <f t="shared" si="30"/>
        <v/>
      </c>
    </row>
    <row r="293" spans="6:7" x14ac:dyDescent="0.25">
      <c r="F293" s="50" t="str">
        <f t="shared" si="29"/>
        <v/>
      </c>
      <c r="G293" s="50" t="str">
        <f t="shared" si="30"/>
        <v/>
      </c>
    </row>
    <row r="294" spans="6:7" x14ac:dyDescent="0.25">
      <c r="F294" s="50" t="str">
        <f t="shared" si="29"/>
        <v/>
      </c>
      <c r="G294" s="50" t="str">
        <f t="shared" si="30"/>
        <v/>
      </c>
    </row>
    <row r="295" spans="6:7" x14ac:dyDescent="0.25">
      <c r="F295" s="50" t="str">
        <f t="shared" si="29"/>
        <v/>
      </c>
      <c r="G295" s="50" t="str">
        <f t="shared" si="30"/>
        <v/>
      </c>
    </row>
    <row r="296" spans="6:7" x14ac:dyDescent="0.25">
      <c r="F296" s="50" t="str">
        <f t="shared" si="29"/>
        <v/>
      </c>
      <c r="G296" s="50" t="str">
        <f t="shared" si="30"/>
        <v/>
      </c>
    </row>
    <row r="297" spans="6:7" x14ac:dyDescent="0.25">
      <c r="F297" s="50" t="str">
        <f t="shared" si="29"/>
        <v/>
      </c>
      <c r="G297" s="50" t="str">
        <f t="shared" si="30"/>
        <v/>
      </c>
    </row>
    <row r="298" spans="6:7" x14ac:dyDescent="0.25">
      <c r="F298" s="50" t="str">
        <f t="shared" si="29"/>
        <v/>
      </c>
      <c r="G298" s="50" t="str">
        <f t="shared" si="30"/>
        <v/>
      </c>
    </row>
    <row r="299" spans="6:7" x14ac:dyDescent="0.25">
      <c r="F299" s="50" t="str">
        <f t="shared" si="29"/>
        <v/>
      </c>
      <c r="G299" s="50" t="str">
        <f t="shared" si="30"/>
        <v/>
      </c>
    </row>
    <row r="300" spans="6:7" x14ac:dyDescent="0.25">
      <c r="F300" s="50" t="str">
        <f t="shared" si="29"/>
        <v/>
      </c>
      <c r="G300" s="50" t="str">
        <f t="shared" si="30"/>
        <v/>
      </c>
    </row>
    <row r="301" spans="6:7" x14ac:dyDescent="0.25">
      <c r="F301" s="50" t="str">
        <f t="shared" si="29"/>
        <v/>
      </c>
      <c r="G301" s="50" t="str">
        <f t="shared" si="30"/>
        <v/>
      </c>
    </row>
    <row r="302" spans="6:7" x14ac:dyDescent="0.25">
      <c r="F302" s="50" t="str">
        <f t="shared" si="29"/>
        <v/>
      </c>
      <c r="G302" s="50"/>
    </row>
    <row r="303" spans="6:7" x14ac:dyDescent="0.25">
      <c r="F303" s="50" t="str">
        <f t="shared" si="29"/>
        <v/>
      </c>
      <c r="G303" s="50" t="str">
        <f t="shared" ref="G303:G337" si="31">IF(C$8="Phase based",IF(C303="","",(C$9/C$10)*C303),IF(D303="","",(D303/E303)))</f>
        <v/>
      </c>
    </row>
    <row r="304" spans="6:7" x14ac:dyDescent="0.25">
      <c r="F304" s="50" t="str">
        <f t="shared" si="29"/>
        <v/>
      </c>
      <c r="G304" s="50" t="str">
        <f t="shared" si="31"/>
        <v/>
      </c>
    </row>
    <row r="305" spans="6:7" x14ac:dyDescent="0.25">
      <c r="F305" s="50" t="str">
        <f t="shared" si="29"/>
        <v/>
      </c>
      <c r="G305" s="50" t="str">
        <f t="shared" si="31"/>
        <v/>
      </c>
    </row>
    <row r="306" spans="6:7" x14ac:dyDescent="0.25">
      <c r="F306" s="50" t="str">
        <f t="shared" si="29"/>
        <v/>
      </c>
      <c r="G306" s="50" t="str">
        <f t="shared" si="31"/>
        <v/>
      </c>
    </row>
    <row r="307" spans="6:7" x14ac:dyDescent="0.25">
      <c r="F307" s="50" t="str">
        <f t="shared" si="29"/>
        <v/>
      </c>
      <c r="G307" s="50" t="str">
        <f t="shared" si="31"/>
        <v/>
      </c>
    </row>
    <row r="308" spans="6:7" x14ac:dyDescent="0.25">
      <c r="F308" s="50" t="str">
        <f t="shared" ref="F308:F371" si="32">IF($C$8="Phase based",IF(C308="","",$C$9*C308),IF(D308="","",D308))</f>
        <v/>
      </c>
      <c r="G308" s="50" t="str">
        <f t="shared" si="31"/>
        <v/>
      </c>
    </row>
    <row r="309" spans="6:7" x14ac:dyDescent="0.25">
      <c r="F309" s="50" t="str">
        <f t="shared" si="32"/>
        <v/>
      </c>
      <c r="G309" s="50" t="str">
        <f t="shared" si="31"/>
        <v/>
      </c>
    </row>
    <row r="310" spans="6:7" x14ac:dyDescent="0.25">
      <c r="F310" s="50" t="str">
        <f t="shared" si="32"/>
        <v/>
      </c>
      <c r="G310" s="50" t="str">
        <f t="shared" si="31"/>
        <v/>
      </c>
    </row>
    <row r="311" spans="6:7" x14ac:dyDescent="0.25">
      <c r="F311" s="50" t="str">
        <f t="shared" si="32"/>
        <v/>
      </c>
      <c r="G311" s="50" t="str">
        <f t="shared" si="31"/>
        <v/>
      </c>
    </row>
    <row r="312" spans="6:7" x14ac:dyDescent="0.25">
      <c r="F312" s="50" t="str">
        <f t="shared" si="32"/>
        <v/>
      </c>
      <c r="G312" s="50" t="str">
        <f t="shared" si="31"/>
        <v/>
      </c>
    </row>
    <row r="313" spans="6:7" x14ac:dyDescent="0.25">
      <c r="F313" s="50" t="str">
        <f t="shared" si="32"/>
        <v/>
      </c>
      <c r="G313" s="50" t="str">
        <f t="shared" si="31"/>
        <v/>
      </c>
    </row>
    <row r="314" spans="6:7" x14ac:dyDescent="0.25">
      <c r="F314" s="50" t="str">
        <f t="shared" si="32"/>
        <v/>
      </c>
      <c r="G314" s="50" t="str">
        <f t="shared" si="31"/>
        <v/>
      </c>
    </row>
    <row r="315" spans="6:7" x14ac:dyDescent="0.25">
      <c r="F315" s="50" t="str">
        <f t="shared" si="32"/>
        <v/>
      </c>
      <c r="G315" s="50" t="str">
        <f t="shared" si="31"/>
        <v/>
      </c>
    </row>
    <row r="316" spans="6:7" x14ac:dyDescent="0.25">
      <c r="F316" s="50" t="str">
        <f t="shared" si="32"/>
        <v/>
      </c>
      <c r="G316" s="50" t="str">
        <f t="shared" si="31"/>
        <v/>
      </c>
    </row>
    <row r="317" spans="6:7" x14ac:dyDescent="0.25">
      <c r="F317" s="50" t="str">
        <f t="shared" si="32"/>
        <v/>
      </c>
      <c r="G317" s="50" t="str">
        <f t="shared" si="31"/>
        <v/>
      </c>
    </row>
    <row r="318" spans="6:7" x14ac:dyDescent="0.25">
      <c r="F318" s="50" t="str">
        <f t="shared" si="32"/>
        <v/>
      </c>
      <c r="G318" s="50" t="str">
        <f t="shared" si="31"/>
        <v/>
      </c>
    </row>
    <row r="319" spans="6:7" x14ac:dyDescent="0.25">
      <c r="F319" s="50" t="str">
        <f t="shared" si="32"/>
        <v/>
      </c>
      <c r="G319" s="50" t="str">
        <f t="shared" si="31"/>
        <v/>
      </c>
    </row>
    <row r="320" spans="6:7" x14ac:dyDescent="0.25">
      <c r="F320" s="50" t="str">
        <f t="shared" si="32"/>
        <v/>
      </c>
      <c r="G320" s="50" t="str">
        <f t="shared" si="31"/>
        <v/>
      </c>
    </row>
    <row r="321" spans="6:7" x14ac:dyDescent="0.25">
      <c r="F321" s="50" t="str">
        <f t="shared" si="32"/>
        <v/>
      </c>
      <c r="G321" s="50" t="str">
        <f t="shared" si="31"/>
        <v/>
      </c>
    </row>
    <row r="322" spans="6:7" x14ac:dyDescent="0.25">
      <c r="F322" s="50" t="str">
        <f t="shared" si="32"/>
        <v/>
      </c>
      <c r="G322" s="50" t="str">
        <f t="shared" si="31"/>
        <v/>
      </c>
    </row>
    <row r="323" spans="6:7" x14ac:dyDescent="0.25">
      <c r="F323" s="50" t="str">
        <f t="shared" si="32"/>
        <v/>
      </c>
      <c r="G323" s="50" t="str">
        <f t="shared" si="31"/>
        <v/>
      </c>
    </row>
    <row r="324" spans="6:7" x14ac:dyDescent="0.25">
      <c r="F324" s="50" t="str">
        <f t="shared" si="32"/>
        <v/>
      </c>
      <c r="G324" s="50" t="str">
        <f t="shared" si="31"/>
        <v/>
      </c>
    </row>
    <row r="325" spans="6:7" x14ac:dyDescent="0.25">
      <c r="F325" s="50" t="str">
        <f t="shared" si="32"/>
        <v/>
      </c>
      <c r="G325" s="50" t="str">
        <f t="shared" si="31"/>
        <v/>
      </c>
    </row>
    <row r="326" spans="6:7" x14ac:dyDescent="0.25">
      <c r="F326" s="50" t="str">
        <f t="shared" si="32"/>
        <v/>
      </c>
      <c r="G326" s="50" t="str">
        <f t="shared" si="31"/>
        <v/>
      </c>
    </row>
    <row r="327" spans="6:7" x14ac:dyDescent="0.25">
      <c r="F327" s="50" t="str">
        <f t="shared" si="32"/>
        <v/>
      </c>
      <c r="G327" s="50" t="str">
        <f t="shared" si="31"/>
        <v/>
      </c>
    </row>
    <row r="328" spans="6:7" x14ac:dyDescent="0.25">
      <c r="F328" s="50" t="str">
        <f t="shared" si="32"/>
        <v/>
      </c>
      <c r="G328" s="50" t="str">
        <f t="shared" si="31"/>
        <v/>
      </c>
    </row>
    <row r="329" spans="6:7" x14ac:dyDescent="0.25">
      <c r="F329" s="50" t="str">
        <f t="shared" si="32"/>
        <v/>
      </c>
      <c r="G329" s="50" t="str">
        <f t="shared" si="31"/>
        <v/>
      </c>
    </row>
    <row r="330" spans="6:7" x14ac:dyDescent="0.25">
      <c r="F330" s="50" t="str">
        <f t="shared" si="32"/>
        <v/>
      </c>
      <c r="G330" s="50" t="str">
        <f t="shared" si="31"/>
        <v/>
      </c>
    </row>
    <row r="331" spans="6:7" x14ac:dyDescent="0.25">
      <c r="F331" s="50" t="str">
        <f t="shared" si="32"/>
        <v/>
      </c>
      <c r="G331" s="50" t="str">
        <f t="shared" si="31"/>
        <v/>
      </c>
    </row>
    <row r="332" spans="6:7" x14ac:dyDescent="0.25">
      <c r="F332" s="50" t="str">
        <f t="shared" si="32"/>
        <v/>
      </c>
      <c r="G332" s="50" t="str">
        <f t="shared" si="31"/>
        <v/>
      </c>
    </row>
    <row r="333" spans="6:7" x14ac:dyDescent="0.25">
      <c r="F333" s="50" t="str">
        <f t="shared" si="32"/>
        <v/>
      </c>
      <c r="G333" s="50" t="str">
        <f t="shared" si="31"/>
        <v/>
      </c>
    </row>
    <row r="334" spans="6:7" x14ac:dyDescent="0.25">
      <c r="F334" s="50" t="str">
        <f t="shared" si="32"/>
        <v/>
      </c>
      <c r="G334" s="50" t="str">
        <f t="shared" si="31"/>
        <v/>
      </c>
    </row>
    <row r="335" spans="6:7" x14ac:dyDescent="0.25">
      <c r="F335" s="50" t="str">
        <f t="shared" si="32"/>
        <v/>
      </c>
      <c r="G335" s="50" t="str">
        <f t="shared" si="31"/>
        <v/>
      </c>
    </row>
    <row r="336" spans="6:7" x14ac:dyDescent="0.25">
      <c r="F336" s="50" t="str">
        <f t="shared" si="32"/>
        <v/>
      </c>
      <c r="G336" s="50" t="str">
        <f t="shared" si="31"/>
        <v/>
      </c>
    </row>
    <row r="337" spans="6:7" x14ac:dyDescent="0.25">
      <c r="F337" s="50" t="str">
        <f t="shared" si="32"/>
        <v/>
      </c>
      <c r="G337" s="50" t="str">
        <f t="shared" si="31"/>
        <v/>
      </c>
    </row>
    <row r="338" spans="6:7" x14ac:dyDescent="0.25">
      <c r="F338" s="50" t="str">
        <f t="shared" si="32"/>
        <v/>
      </c>
      <c r="G338" s="50"/>
    </row>
    <row r="339" spans="6:7" x14ac:dyDescent="0.25">
      <c r="F339" s="50" t="str">
        <f t="shared" si="32"/>
        <v/>
      </c>
      <c r="G339" s="50" t="str">
        <f t="shared" ref="G339:G373" si="33">IF(C$8="Phase based",IF(C339="","",(C$9/C$10)*C339),IF(D339="","",(D339/E339)))</f>
        <v/>
      </c>
    </row>
    <row r="340" spans="6:7" x14ac:dyDescent="0.25">
      <c r="F340" s="50" t="str">
        <f t="shared" si="32"/>
        <v/>
      </c>
      <c r="G340" s="50" t="str">
        <f t="shared" si="33"/>
        <v/>
      </c>
    </row>
    <row r="341" spans="6:7" x14ac:dyDescent="0.25">
      <c r="F341" s="50" t="str">
        <f t="shared" si="32"/>
        <v/>
      </c>
      <c r="G341" s="50" t="str">
        <f t="shared" si="33"/>
        <v/>
      </c>
    </row>
    <row r="342" spans="6:7" x14ac:dyDescent="0.25">
      <c r="F342" s="50" t="str">
        <f t="shared" si="32"/>
        <v/>
      </c>
      <c r="G342" s="50" t="str">
        <f t="shared" si="33"/>
        <v/>
      </c>
    </row>
    <row r="343" spans="6:7" x14ac:dyDescent="0.25">
      <c r="F343" s="50" t="str">
        <f t="shared" si="32"/>
        <v/>
      </c>
      <c r="G343" s="50" t="str">
        <f t="shared" si="33"/>
        <v/>
      </c>
    </row>
    <row r="344" spans="6:7" x14ac:dyDescent="0.25">
      <c r="F344" s="50" t="str">
        <f t="shared" si="32"/>
        <v/>
      </c>
      <c r="G344" s="50" t="str">
        <f t="shared" si="33"/>
        <v/>
      </c>
    </row>
    <row r="345" spans="6:7" x14ac:dyDescent="0.25">
      <c r="F345" s="50" t="str">
        <f t="shared" si="32"/>
        <v/>
      </c>
      <c r="G345" s="50" t="str">
        <f t="shared" si="33"/>
        <v/>
      </c>
    </row>
    <row r="346" spans="6:7" x14ac:dyDescent="0.25">
      <c r="F346" s="50" t="str">
        <f t="shared" si="32"/>
        <v/>
      </c>
      <c r="G346" s="50" t="str">
        <f t="shared" si="33"/>
        <v/>
      </c>
    </row>
    <row r="347" spans="6:7" x14ac:dyDescent="0.25">
      <c r="F347" s="50" t="str">
        <f t="shared" si="32"/>
        <v/>
      </c>
      <c r="G347" s="50" t="str">
        <f t="shared" si="33"/>
        <v/>
      </c>
    </row>
    <row r="348" spans="6:7" x14ac:dyDescent="0.25">
      <c r="F348" s="50" t="str">
        <f t="shared" si="32"/>
        <v/>
      </c>
      <c r="G348" s="50" t="str">
        <f t="shared" si="33"/>
        <v/>
      </c>
    </row>
    <row r="349" spans="6:7" x14ac:dyDescent="0.25">
      <c r="F349" s="50" t="str">
        <f t="shared" si="32"/>
        <v/>
      </c>
      <c r="G349" s="50" t="str">
        <f t="shared" si="33"/>
        <v/>
      </c>
    </row>
    <row r="350" spans="6:7" x14ac:dyDescent="0.25">
      <c r="F350" s="50" t="str">
        <f t="shared" si="32"/>
        <v/>
      </c>
      <c r="G350" s="50" t="str">
        <f t="shared" si="33"/>
        <v/>
      </c>
    </row>
    <row r="351" spans="6:7" x14ac:dyDescent="0.25">
      <c r="F351" s="50" t="str">
        <f t="shared" si="32"/>
        <v/>
      </c>
      <c r="G351" s="50" t="str">
        <f t="shared" si="33"/>
        <v/>
      </c>
    </row>
    <row r="352" spans="6:7" x14ac:dyDescent="0.25">
      <c r="F352" s="50" t="str">
        <f t="shared" si="32"/>
        <v/>
      </c>
      <c r="G352" s="50" t="str">
        <f t="shared" si="33"/>
        <v/>
      </c>
    </row>
    <row r="353" spans="6:7" x14ac:dyDescent="0.25">
      <c r="F353" s="50" t="str">
        <f t="shared" si="32"/>
        <v/>
      </c>
      <c r="G353" s="50" t="str">
        <f t="shared" si="33"/>
        <v/>
      </c>
    </row>
    <row r="354" spans="6:7" x14ac:dyDescent="0.25">
      <c r="F354" s="50" t="str">
        <f t="shared" si="32"/>
        <v/>
      </c>
      <c r="G354" s="50" t="str">
        <f t="shared" si="33"/>
        <v/>
      </c>
    </row>
    <row r="355" spans="6:7" x14ac:dyDescent="0.25">
      <c r="F355" s="50" t="str">
        <f t="shared" si="32"/>
        <v/>
      </c>
      <c r="G355" s="50" t="str">
        <f t="shared" si="33"/>
        <v/>
      </c>
    </row>
    <row r="356" spans="6:7" x14ac:dyDescent="0.25">
      <c r="F356" s="50" t="str">
        <f t="shared" si="32"/>
        <v/>
      </c>
      <c r="G356" s="50" t="str">
        <f t="shared" si="33"/>
        <v/>
      </c>
    </row>
    <row r="357" spans="6:7" x14ac:dyDescent="0.25">
      <c r="F357" s="50" t="str">
        <f t="shared" si="32"/>
        <v/>
      </c>
      <c r="G357" s="50" t="str">
        <f t="shared" si="33"/>
        <v/>
      </c>
    </row>
    <row r="358" spans="6:7" x14ac:dyDescent="0.25">
      <c r="F358" s="50" t="str">
        <f t="shared" si="32"/>
        <v/>
      </c>
      <c r="G358" s="50" t="str">
        <f t="shared" si="33"/>
        <v/>
      </c>
    </row>
    <row r="359" spans="6:7" x14ac:dyDescent="0.25">
      <c r="F359" s="50" t="str">
        <f t="shared" si="32"/>
        <v/>
      </c>
      <c r="G359" s="50" t="str">
        <f t="shared" si="33"/>
        <v/>
      </c>
    </row>
    <row r="360" spans="6:7" x14ac:dyDescent="0.25">
      <c r="F360" s="50" t="str">
        <f t="shared" si="32"/>
        <v/>
      </c>
      <c r="G360" s="50" t="str">
        <f t="shared" si="33"/>
        <v/>
      </c>
    </row>
    <row r="361" spans="6:7" x14ac:dyDescent="0.25">
      <c r="F361" s="50" t="str">
        <f t="shared" si="32"/>
        <v/>
      </c>
      <c r="G361" s="50" t="str">
        <f t="shared" si="33"/>
        <v/>
      </c>
    </row>
    <row r="362" spans="6:7" x14ac:dyDescent="0.25">
      <c r="F362" s="50" t="str">
        <f t="shared" si="32"/>
        <v/>
      </c>
      <c r="G362" s="50" t="str">
        <f t="shared" si="33"/>
        <v/>
      </c>
    </row>
    <row r="363" spans="6:7" x14ac:dyDescent="0.25">
      <c r="F363" s="50" t="str">
        <f t="shared" si="32"/>
        <v/>
      </c>
      <c r="G363" s="50" t="str">
        <f t="shared" si="33"/>
        <v/>
      </c>
    </row>
    <row r="364" spans="6:7" x14ac:dyDescent="0.25">
      <c r="F364" s="50" t="str">
        <f t="shared" si="32"/>
        <v/>
      </c>
      <c r="G364" s="50" t="str">
        <f t="shared" si="33"/>
        <v/>
      </c>
    </row>
    <row r="365" spans="6:7" x14ac:dyDescent="0.25">
      <c r="F365" s="50" t="str">
        <f t="shared" si="32"/>
        <v/>
      </c>
      <c r="G365" s="50" t="str">
        <f t="shared" si="33"/>
        <v/>
      </c>
    </row>
    <row r="366" spans="6:7" x14ac:dyDescent="0.25">
      <c r="F366" s="50" t="str">
        <f t="shared" si="32"/>
        <v/>
      </c>
      <c r="G366" s="50" t="str">
        <f t="shared" si="33"/>
        <v/>
      </c>
    </row>
    <row r="367" spans="6:7" x14ac:dyDescent="0.25">
      <c r="F367" s="50" t="str">
        <f t="shared" si="32"/>
        <v/>
      </c>
      <c r="G367" s="50" t="str">
        <f t="shared" si="33"/>
        <v/>
      </c>
    </row>
    <row r="368" spans="6:7" x14ac:dyDescent="0.25">
      <c r="F368" s="50" t="str">
        <f t="shared" si="32"/>
        <v/>
      </c>
      <c r="G368" s="50" t="str">
        <f t="shared" si="33"/>
        <v/>
      </c>
    </row>
    <row r="369" spans="6:7" x14ac:dyDescent="0.25">
      <c r="F369" s="50" t="str">
        <f t="shared" si="32"/>
        <v/>
      </c>
      <c r="G369" s="50" t="str">
        <f t="shared" si="33"/>
        <v/>
      </c>
    </row>
    <row r="370" spans="6:7" x14ac:dyDescent="0.25">
      <c r="F370" s="50" t="str">
        <f t="shared" si="32"/>
        <v/>
      </c>
      <c r="G370" s="50" t="str">
        <f t="shared" si="33"/>
        <v/>
      </c>
    </row>
    <row r="371" spans="6:7" x14ac:dyDescent="0.25">
      <c r="F371" s="50" t="str">
        <f t="shared" si="32"/>
        <v/>
      </c>
      <c r="G371" s="50" t="str">
        <f t="shared" si="33"/>
        <v/>
      </c>
    </row>
    <row r="372" spans="6:7" x14ac:dyDescent="0.25">
      <c r="F372" s="50" t="str">
        <f t="shared" ref="F372:F435" si="34">IF($C$8="Phase based",IF(C372="","",$C$9*C372),IF(D372="","",D372))</f>
        <v/>
      </c>
      <c r="G372" s="50" t="str">
        <f t="shared" si="33"/>
        <v/>
      </c>
    </row>
    <row r="373" spans="6:7" x14ac:dyDescent="0.25">
      <c r="F373" s="50" t="str">
        <f t="shared" si="34"/>
        <v/>
      </c>
      <c r="G373" s="50" t="str">
        <f t="shared" si="33"/>
        <v/>
      </c>
    </row>
    <row r="374" spans="6:7" x14ac:dyDescent="0.25">
      <c r="F374" s="50" t="str">
        <f t="shared" si="34"/>
        <v/>
      </c>
      <c r="G374" s="50"/>
    </row>
    <row r="375" spans="6:7" x14ac:dyDescent="0.25">
      <c r="F375" s="50" t="str">
        <f t="shared" si="34"/>
        <v/>
      </c>
      <c r="G375" s="50" t="str">
        <f t="shared" ref="G375:G409" si="35">IF(C$8="Phase based",IF(C375="","",(C$9/C$10)*C375),IF(D375="","",(D375/E375)))</f>
        <v/>
      </c>
    </row>
    <row r="376" spans="6:7" x14ac:dyDescent="0.25">
      <c r="F376" s="50" t="str">
        <f t="shared" si="34"/>
        <v/>
      </c>
      <c r="G376" s="50" t="str">
        <f t="shared" si="35"/>
        <v/>
      </c>
    </row>
    <row r="377" spans="6:7" x14ac:dyDescent="0.25">
      <c r="F377" s="50" t="str">
        <f t="shared" si="34"/>
        <v/>
      </c>
      <c r="G377" s="50" t="str">
        <f t="shared" si="35"/>
        <v/>
      </c>
    </row>
    <row r="378" spans="6:7" x14ac:dyDescent="0.25">
      <c r="F378" s="50" t="str">
        <f t="shared" si="34"/>
        <v/>
      </c>
      <c r="G378" s="50" t="str">
        <f t="shared" si="35"/>
        <v/>
      </c>
    </row>
    <row r="379" spans="6:7" x14ac:dyDescent="0.25">
      <c r="F379" s="50" t="str">
        <f t="shared" si="34"/>
        <v/>
      </c>
      <c r="G379" s="50" t="str">
        <f t="shared" si="35"/>
        <v/>
      </c>
    </row>
    <row r="380" spans="6:7" x14ac:dyDescent="0.25">
      <c r="F380" s="50" t="str">
        <f t="shared" si="34"/>
        <v/>
      </c>
      <c r="G380" s="50" t="str">
        <f t="shared" si="35"/>
        <v/>
      </c>
    </row>
    <row r="381" spans="6:7" x14ac:dyDescent="0.25">
      <c r="F381" s="50" t="str">
        <f t="shared" si="34"/>
        <v/>
      </c>
      <c r="G381" s="50" t="str">
        <f t="shared" si="35"/>
        <v/>
      </c>
    </row>
    <row r="382" spans="6:7" x14ac:dyDescent="0.25">
      <c r="F382" s="50" t="str">
        <f t="shared" si="34"/>
        <v/>
      </c>
      <c r="G382" s="50" t="str">
        <f t="shared" si="35"/>
        <v/>
      </c>
    </row>
    <row r="383" spans="6:7" x14ac:dyDescent="0.25">
      <c r="F383" s="50" t="str">
        <f t="shared" si="34"/>
        <v/>
      </c>
      <c r="G383" s="50" t="str">
        <f t="shared" si="35"/>
        <v/>
      </c>
    </row>
    <row r="384" spans="6:7" x14ac:dyDescent="0.25">
      <c r="F384" s="50" t="str">
        <f t="shared" si="34"/>
        <v/>
      </c>
      <c r="G384" s="50" t="str">
        <f t="shared" si="35"/>
        <v/>
      </c>
    </row>
    <row r="385" spans="6:7" x14ac:dyDescent="0.25">
      <c r="F385" s="50" t="str">
        <f t="shared" si="34"/>
        <v/>
      </c>
      <c r="G385" s="50" t="str">
        <f t="shared" si="35"/>
        <v/>
      </c>
    </row>
    <row r="386" spans="6:7" x14ac:dyDescent="0.25">
      <c r="F386" s="50" t="str">
        <f t="shared" si="34"/>
        <v/>
      </c>
      <c r="G386" s="50" t="str">
        <f t="shared" si="35"/>
        <v/>
      </c>
    </row>
    <row r="387" spans="6:7" x14ac:dyDescent="0.25">
      <c r="F387" s="50" t="str">
        <f t="shared" si="34"/>
        <v/>
      </c>
      <c r="G387" s="50" t="str">
        <f t="shared" si="35"/>
        <v/>
      </c>
    </row>
    <row r="388" spans="6:7" x14ac:dyDescent="0.25">
      <c r="F388" s="50" t="str">
        <f t="shared" si="34"/>
        <v/>
      </c>
      <c r="G388" s="50" t="str">
        <f t="shared" si="35"/>
        <v/>
      </c>
    </row>
    <row r="389" spans="6:7" x14ac:dyDescent="0.25">
      <c r="F389" s="50" t="str">
        <f t="shared" si="34"/>
        <v/>
      </c>
      <c r="G389" s="50" t="str">
        <f t="shared" si="35"/>
        <v/>
      </c>
    </row>
    <row r="390" spans="6:7" x14ac:dyDescent="0.25">
      <c r="F390" s="50" t="str">
        <f t="shared" si="34"/>
        <v/>
      </c>
      <c r="G390" s="50" t="str">
        <f t="shared" si="35"/>
        <v/>
      </c>
    </row>
    <row r="391" spans="6:7" x14ac:dyDescent="0.25">
      <c r="F391" s="50" t="str">
        <f t="shared" si="34"/>
        <v/>
      </c>
      <c r="G391" s="50" t="str">
        <f t="shared" si="35"/>
        <v/>
      </c>
    </row>
    <row r="392" spans="6:7" x14ac:dyDescent="0.25">
      <c r="F392" s="50" t="str">
        <f t="shared" si="34"/>
        <v/>
      </c>
      <c r="G392" s="50" t="str">
        <f t="shared" si="35"/>
        <v/>
      </c>
    </row>
    <row r="393" spans="6:7" x14ac:dyDescent="0.25">
      <c r="F393" s="50" t="str">
        <f t="shared" si="34"/>
        <v/>
      </c>
      <c r="G393" s="50" t="str">
        <f t="shared" si="35"/>
        <v/>
      </c>
    </row>
    <row r="394" spans="6:7" x14ac:dyDescent="0.25">
      <c r="F394" s="50" t="str">
        <f t="shared" si="34"/>
        <v/>
      </c>
      <c r="G394" s="50" t="str">
        <f t="shared" si="35"/>
        <v/>
      </c>
    </row>
    <row r="395" spans="6:7" x14ac:dyDescent="0.25">
      <c r="F395" s="50" t="str">
        <f t="shared" si="34"/>
        <v/>
      </c>
      <c r="G395" s="50" t="str">
        <f t="shared" si="35"/>
        <v/>
      </c>
    </row>
    <row r="396" spans="6:7" x14ac:dyDescent="0.25">
      <c r="F396" s="50" t="str">
        <f t="shared" si="34"/>
        <v/>
      </c>
      <c r="G396" s="50" t="str">
        <f t="shared" si="35"/>
        <v/>
      </c>
    </row>
    <row r="397" spans="6:7" x14ac:dyDescent="0.25">
      <c r="F397" s="50" t="str">
        <f t="shared" si="34"/>
        <v/>
      </c>
      <c r="G397" s="50" t="str">
        <f t="shared" si="35"/>
        <v/>
      </c>
    </row>
    <row r="398" spans="6:7" x14ac:dyDescent="0.25">
      <c r="F398" s="50" t="str">
        <f t="shared" si="34"/>
        <v/>
      </c>
      <c r="G398" s="50" t="str">
        <f t="shared" si="35"/>
        <v/>
      </c>
    </row>
    <row r="399" spans="6:7" x14ac:dyDescent="0.25">
      <c r="F399" s="50" t="str">
        <f t="shared" si="34"/>
        <v/>
      </c>
      <c r="G399" s="50" t="str">
        <f t="shared" si="35"/>
        <v/>
      </c>
    </row>
    <row r="400" spans="6:7" x14ac:dyDescent="0.25">
      <c r="F400" s="50" t="str">
        <f t="shared" si="34"/>
        <v/>
      </c>
      <c r="G400" s="50" t="str">
        <f t="shared" si="35"/>
        <v/>
      </c>
    </row>
    <row r="401" spans="6:7" x14ac:dyDescent="0.25">
      <c r="F401" s="50" t="str">
        <f t="shared" si="34"/>
        <v/>
      </c>
      <c r="G401" s="50" t="str">
        <f t="shared" si="35"/>
        <v/>
      </c>
    </row>
    <row r="402" spans="6:7" x14ac:dyDescent="0.25">
      <c r="F402" s="50" t="str">
        <f t="shared" si="34"/>
        <v/>
      </c>
      <c r="G402" s="50" t="str">
        <f t="shared" si="35"/>
        <v/>
      </c>
    </row>
    <row r="403" spans="6:7" x14ac:dyDescent="0.25">
      <c r="F403" s="50" t="str">
        <f t="shared" si="34"/>
        <v/>
      </c>
      <c r="G403" s="50" t="str">
        <f t="shared" si="35"/>
        <v/>
      </c>
    </row>
    <row r="404" spans="6:7" x14ac:dyDescent="0.25">
      <c r="F404" s="50" t="str">
        <f t="shared" si="34"/>
        <v/>
      </c>
      <c r="G404" s="50" t="str">
        <f t="shared" si="35"/>
        <v/>
      </c>
    </row>
    <row r="405" spans="6:7" x14ac:dyDescent="0.25">
      <c r="F405" s="50" t="str">
        <f t="shared" si="34"/>
        <v/>
      </c>
      <c r="G405" s="50" t="str">
        <f t="shared" si="35"/>
        <v/>
      </c>
    </row>
    <row r="406" spans="6:7" x14ac:dyDescent="0.25">
      <c r="F406" s="50" t="str">
        <f t="shared" si="34"/>
        <v/>
      </c>
      <c r="G406" s="50" t="str">
        <f t="shared" si="35"/>
        <v/>
      </c>
    </row>
    <row r="407" spans="6:7" x14ac:dyDescent="0.25">
      <c r="F407" s="50" t="str">
        <f t="shared" si="34"/>
        <v/>
      </c>
      <c r="G407" s="50" t="str">
        <f t="shared" si="35"/>
        <v/>
      </c>
    </row>
    <row r="408" spans="6:7" x14ac:dyDescent="0.25">
      <c r="F408" s="50" t="str">
        <f t="shared" si="34"/>
        <v/>
      </c>
      <c r="G408" s="50" t="str">
        <f t="shared" si="35"/>
        <v/>
      </c>
    </row>
    <row r="409" spans="6:7" x14ac:dyDescent="0.25">
      <c r="F409" s="50" t="str">
        <f t="shared" si="34"/>
        <v/>
      </c>
      <c r="G409" s="50" t="str">
        <f t="shared" si="35"/>
        <v/>
      </c>
    </row>
    <row r="410" spans="6:7" x14ac:dyDescent="0.25">
      <c r="F410" s="50" t="str">
        <f t="shared" si="34"/>
        <v/>
      </c>
      <c r="G410" s="50"/>
    </row>
    <row r="411" spans="6:7" x14ac:dyDescent="0.25">
      <c r="F411" s="50" t="str">
        <f t="shared" si="34"/>
        <v/>
      </c>
      <c r="G411" s="50" t="str">
        <f t="shared" ref="G411:G445" si="36">IF(C$8="Phase based",IF(C411="","",(C$9/C$10)*C411),IF(D411="","",(D411/E411)))</f>
        <v/>
      </c>
    </row>
    <row r="412" spans="6:7" x14ac:dyDescent="0.25">
      <c r="F412" s="50" t="str">
        <f t="shared" si="34"/>
        <v/>
      </c>
      <c r="G412" s="50" t="str">
        <f t="shared" si="36"/>
        <v/>
      </c>
    </row>
    <row r="413" spans="6:7" x14ac:dyDescent="0.25">
      <c r="F413" s="50" t="str">
        <f t="shared" si="34"/>
        <v/>
      </c>
      <c r="G413" s="50" t="str">
        <f t="shared" si="36"/>
        <v/>
      </c>
    </row>
    <row r="414" spans="6:7" x14ac:dyDescent="0.25">
      <c r="F414" s="50" t="str">
        <f t="shared" si="34"/>
        <v/>
      </c>
      <c r="G414" s="50" t="str">
        <f t="shared" si="36"/>
        <v/>
      </c>
    </row>
    <row r="415" spans="6:7" x14ac:dyDescent="0.25">
      <c r="F415" s="50" t="str">
        <f t="shared" si="34"/>
        <v/>
      </c>
      <c r="G415" s="50" t="str">
        <f t="shared" si="36"/>
        <v/>
      </c>
    </row>
    <row r="416" spans="6:7" x14ac:dyDescent="0.25">
      <c r="F416" s="50" t="str">
        <f t="shared" si="34"/>
        <v/>
      </c>
      <c r="G416" s="50" t="str">
        <f t="shared" si="36"/>
        <v/>
      </c>
    </row>
    <row r="417" spans="6:7" x14ac:dyDescent="0.25">
      <c r="F417" s="50" t="str">
        <f t="shared" si="34"/>
        <v/>
      </c>
      <c r="G417" s="50" t="str">
        <f t="shared" si="36"/>
        <v/>
      </c>
    </row>
    <row r="418" spans="6:7" x14ac:dyDescent="0.25">
      <c r="F418" s="50" t="str">
        <f t="shared" si="34"/>
        <v/>
      </c>
      <c r="G418" s="50" t="str">
        <f t="shared" si="36"/>
        <v/>
      </c>
    </row>
    <row r="419" spans="6:7" x14ac:dyDescent="0.25">
      <c r="F419" s="50" t="str">
        <f t="shared" si="34"/>
        <v/>
      </c>
      <c r="G419" s="50" t="str">
        <f t="shared" si="36"/>
        <v/>
      </c>
    </row>
    <row r="420" spans="6:7" x14ac:dyDescent="0.25">
      <c r="F420" s="50" t="str">
        <f t="shared" si="34"/>
        <v/>
      </c>
      <c r="G420" s="50" t="str">
        <f t="shared" si="36"/>
        <v/>
      </c>
    </row>
    <row r="421" spans="6:7" x14ac:dyDescent="0.25">
      <c r="F421" s="50" t="str">
        <f t="shared" si="34"/>
        <v/>
      </c>
      <c r="G421" s="50" t="str">
        <f t="shared" si="36"/>
        <v/>
      </c>
    </row>
    <row r="422" spans="6:7" x14ac:dyDescent="0.25">
      <c r="F422" s="50" t="str">
        <f t="shared" si="34"/>
        <v/>
      </c>
      <c r="G422" s="50" t="str">
        <f t="shared" si="36"/>
        <v/>
      </c>
    </row>
    <row r="423" spans="6:7" x14ac:dyDescent="0.25">
      <c r="F423" s="50" t="str">
        <f t="shared" si="34"/>
        <v/>
      </c>
      <c r="G423" s="50" t="str">
        <f t="shared" si="36"/>
        <v/>
      </c>
    </row>
    <row r="424" spans="6:7" x14ac:dyDescent="0.25">
      <c r="F424" s="50" t="str">
        <f t="shared" si="34"/>
        <v/>
      </c>
      <c r="G424" s="50" t="str">
        <f t="shared" si="36"/>
        <v/>
      </c>
    </row>
    <row r="425" spans="6:7" x14ac:dyDescent="0.25">
      <c r="F425" s="50" t="str">
        <f t="shared" si="34"/>
        <v/>
      </c>
      <c r="G425" s="50" t="str">
        <f t="shared" si="36"/>
        <v/>
      </c>
    </row>
    <row r="426" spans="6:7" x14ac:dyDescent="0.25">
      <c r="F426" s="50" t="str">
        <f t="shared" si="34"/>
        <v/>
      </c>
      <c r="G426" s="50" t="str">
        <f t="shared" si="36"/>
        <v/>
      </c>
    </row>
    <row r="427" spans="6:7" x14ac:dyDescent="0.25">
      <c r="F427" s="50" t="str">
        <f t="shared" si="34"/>
        <v/>
      </c>
      <c r="G427" s="50" t="str">
        <f t="shared" si="36"/>
        <v/>
      </c>
    </row>
    <row r="428" spans="6:7" x14ac:dyDescent="0.25">
      <c r="F428" s="50" t="str">
        <f t="shared" si="34"/>
        <v/>
      </c>
      <c r="G428" s="50" t="str">
        <f t="shared" si="36"/>
        <v/>
      </c>
    </row>
    <row r="429" spans="6:7" x14ac:dyDescent="0.25">
      <c r="F429" s="50" t="str">
        <f t="shared" si="34"/>
        <v/>
      </c>
      <c r="G429" s="50" t="str">
        <f t="shared" si="36"/>
        <v/>
      </c>
    </row>
    <row r="430" spans="6:7" x14ac:dyDescent="0.25">
      <c r="F430" s="50" t="str">
        <f t="shared" si="34"/>
        <v/>
      </c>
      <c r="G430" s="50" t="str">
        <f t="shared" si="36"/>
        <v/>
      </c>
    </row>
    <row r="431" spans="6:7" x14ac:dyDescent="0.25">
      <c r="F431" s="50" t="str">
        <f t="shared" si="34"/>
        <v/>
      </c>
      <c r="G431" s="50" t="str">
        <f t="shared" si="36"/>
        <v/>
      </c>
    </row>
    <row r="432" spans="6:7" x14ac:dyDescent="0.25">
      <c r="F432" s="50" t="str">
        <f t="shared" si="34"/>
        <v/>
      </c>
      <c r="G432" s="50" t="str">
        <f t="shared" si="36"/>
        <v/>
      </c>
    </row>
    <row r="433" spans="6:7" x14ac:dyDescent="0.25">
      <c r="F433" s="50" t="str">
        <f t="shared" si="34"/>
        <v/>
      </c>
      <c r="G433" s="50" t="str">
        <f t="shared" si="36"/>
        <v/>
      </c>
    </row>
    <row r="434" spans="6:7" x14ac:dyDescent="0.25">
      <c r="F434" s="50" t="str">
        <f t="shared" si="34"/>
        <v/>
      </c>
      <c r="G434" s="50" t="str">
        <f t="shared" si="36"/>
        <v/>
      </c>
    </row>
    <row r="435" spans="6:7" x14ac:dyDescent="0.25">
      <c r="F435" s="50" t="str">
        <f t="shared" si="34"/>
        <v/>
      </c>
      <c r="G435" s="50" t="str">
        <f t="shared" si="36"/>
        <v/>
      </c>
    </row>
    <row r="436" spans="6:7" x14ac:dyDescent="0.25">
      <c r="F436" s="50" t="str">
        <f t="shared" ref="F436:F499" si="37">IF($C$8="Phase based",IF(C436="","",$C$9*C436),IF(D436="","",D436))</f>
        <v/>
      </c>
      <c r="G436" s="50" t="str">
        <f t="shared" si="36"/>
        <v/>
      </c>
    </row>
    <row r="437" spans="6:7" x14ac:dyDescent="0.25">
      <c r="F437" s="50" t="str">
        <f t="shared" si="37"/>
        <v/>
      </c>
      <c r="G437" s="50" t="str">
        <f t="shared" si="36"/>
        <v/>
      </c>
    </row>
    <row r="438" spans="6:7" x14ac:dyDescent="0.25">
      <c r="F438" s="50" t="str">
        <f t="shared" si="37"/>
        <v/>
      </c>
      <c r="G438" s="50" t="str">
        <f t="shared" si="36"/>
        <v/>
      </c>
    </row>
    <row r="439" spans="6:7" x14ac:dyDescent="0.25">
      <c r="F439" s="50" t="str">
        <f t="shared" si="37"/>
        <v/>
      </c>
      <c r="G439" s="50" t="str">
        <f t="shared" si="36"/>
        <v/>
      </c>
    </row>
    <row r="440" spans="6:7" x14ac:dyDescent="0.25">
      <c r="F440" s="50" t="str">
        <f t="shared" si="37"/>
        <v/>
      </c>
      <c r="G440" s="50" t="str">
        <f t="shared" si="36"/>
        <v/>
      </c>
    </row>
    <row r="441" spans="6:7" x14ac:dyDescent="0.25">
      <c r="F441" s="50" t="str">
        <f t="shared" si="37"/>
        <v/>
      </c>
      <c r="G441" s="50" t="str">
        <f t="shared" si="36"/>
        <v/>
      </c>
    </row>
    <row r="442" spans="6:7" x14ac:dyDescent="0.25">
      <c r="F442" s="50" t="str">
        <f t="shared" si="37"/>
        <v/>
      </c>
      <c r="G442" s="50" t="str">
        <f t="shared" si="36"/>
        <v/>
      </c>
    </row>
    <row r="443" spans="6:7" x14ac:dyDescent="0.25">
      <c r="F443" s="50" t="str">
        <f t="shared" si="37"/>
        <v/>
      </c>
      <c r="G443" s="50" t="str">
        <f t="shared" si="36"/>
        <v/>
      </c>
    </row>
    <row r="444" spans="6:7" x14ac:dyDescent="0.25">
      <c r="F444" s="50" t="str">
        <f t="shared" si="37"/>
        <v/>
      </c>
      <c r="G444" s="50" t="str">
        <f t="shared" si="36"/>
        <v/>
      </c>
    </row>
    <row r="445" spans="6:7" x14ac:dyDescent="0.25">
      <c r="F445" s="50" t="str">
        <f t="shared" si="37"/>
        <v/>
      </c>
      <c r="G445" s="50" t="str">
        <f t="shared" si="36"/>
        <v/>
      </c>
    </row>
    <row r="446" spans="6:7" x14ac:dyDescent="0.25">
      <c r="F446" s="50" t="str">
        <f t="shared" si="37"/>
        <v/>
      </c>
      <c r="G446" s="50"/>
    </row>
    <row r="447" spans="6:7" x14ac:dyDescent="0.25">
      <c r="F447" s="50" t="str">
        <f t="shared" si="37"/>
        <v/>
      </c>
      <c r="G447" s="50" t="str">
        <f t="shared" ref="G447:G481" si="38">IF(C$8="Phase based",IF(C447="","",(C$9/C$10)*C447),IF(D447="","",(D447/E447)))</f>
        <v/>
      </c>
    </row>
    <row r="448" spans="6:7" x14ac:dyDescent="0.25">
      <c r="F448" s="50" t="str">
        <f t="shared" si="37"/>
        <v/>
      </c>
      <c r="G448" s="50" t="str">
        <f t="shared" si="38"/>
        <v/>
      </c>
    </row>
    <row r="449" spans="6:7" x14ac:dyDescent="0.25">
      <c r="F449" s="50" t="str">
        <f t="shared" si="37"/>
        <v/>
      </c>
      <c r="G449" s="50" t="str">
        <f t="shared" si="38"/>
        <v/>
      </c>
    </row>
    <row r="450" spans="6:7" x14ac:dyDescent="0.25">
      <c r="F450" s="50" t="str">
        <f t="shared" si="37"/>
        <v/>
      </c>
      <c r="G450" s="50" t="str">
        <f t="shared" si="38"/>
        <v/>
      </c>
    </row>
    <row r="451" spans="6:7" x14ac:dyDescent="0.25">
      <c r="F451" s="50" t="str">
        <f t="shared" si="37"/>
        <v/>
      </c>
      <c r="G451" s="50" t="str">
        <f t="shared" si="38"/>
        <v/>
      </c>
    </row>
    <row r="452" spans="6:7" x14ac:dyDescent="0.25">
      <c r="F452" s="50" t="str">
        <f t="shared" si="37"/>
        <v/>
      </c>
      <c r="G452" s="50" t="str">
        <f t="shared" si="38"/>
        <v/>
      </c>
    </row>
    <row r="453" spans="6:7" x14ac:dyDescent="0.25">
      <c r="F453" s="50" t="str">
        <f t="shared" si="37"/>
        <v/>
      </c>
      <c r="G453" s="50" t="str">
        <f t="shared" si="38"/>
        <v/>
      </c>
    </row>
    <row r="454" spans="6:7" x14ac:dyDescent="0.25">
      <c r="F454" s="50" t="str">
        <f t="shared" si="37"/>
        <v/>
      </c>
      <c r="G454" s="50" t="str">
        <f t="shared" si="38"/>
        <v/>
      </c>
    </row>
    <row r="455" spans="6:7" x14ac:dyDescent="0.25">
      <c r="F455" s="50" t="str">
        <f t="shared" si="37"/>
        <v/>
      </c>
      <c r="G455" s="50" t="str">
        <f t="shared" si="38"/>
        <v/>
      </c>
    </row>
    <row r="456" spans="6:7" x14ac:dyDescent="0.25">
      <c r="F456" s="50" t="str">
        <f t="shared" si="37"/>
        <v/>
      </c>
      <c r="G456" s="50" t="str">
        <f t="shared" si="38"/>
        <v/>
      </c>
    </row>
    <row r="457" spans="6:7" x14ac:dyDescent="0.25">
      <c r="F457" s="50" t="str">
        <f t="shared" si="37"/>
        <v/>
      </c>
      <c r="G457" s="50" t="str">
        <f t="shared" si="38"/>
        <v/>
      </c>
    </row>
    <row r="458" spans="6:7" x14ac:dyDescent="0.25">
      <c r="F458" s="50" t="str">
        <f t="shared" si="37"/>
        <v/>
      </c>
      <c r="G458" s="50" t="str">
        <f t="shared" si="38"/>
        <v/>
      </c>
    </row>
    <row r="459" spans="6:7" x14ac:dyDescent="0.25">
      <c r="F459" s="50" t="str">
        <f t="shared" si="37"/>
        <v/>
      </c>
      <c r="G459" s="50" t="str">
        <f t="shared" si="38"/>
        <v/>
      </c>
    </row>
    <row r="460" spans="6:7" x14ac:dyDescent="0.25">
      <c r="F460" s="50" t="str">
        <f t="shared" si="37"/>
        <v/>
      </c>
      <c r="G460" s="50" t="str">
        <f t="shared" si="38"/>
        <v/>
      </c>
    </row>
    <row r="461" spans="6:7" x14ac:dyDescent="0.25">
      <c r="F461" s="50" t="str">
        <f t="shared" si="37"/>
        <v/>
      </c>
      <c r="G461" s="50" t="str">
        <f t="shared" si="38"/>
        <v/>
      </c>
    </row>
    <row r="462" spans="6:7" x14ac:dyDescent="0.25">
      <c r="F462" s="50" t="str">
        <f t="shared" si="37"/>
        <v/>
      </c>
      <c r="G462" s="50" t="str">
        <f t="shared" si="38"/>
        <v/>
      </c>
    </row>
    <row r="463" spans="6:7" x14ac:dyDescent="0.25">
      <c r="F463" s="50" t="str">
        <f t="shared" si="37"/>
        <v/>
      </c>
      <c r="G463" s="50" t="str">
        <f t="shared" si="38"/>
        <v/>
      </c>
    </row>
    <row r="464" spans="6:7" x14ac:dyDescent="0.25">
      <c r="F464" s="50" t="str">
        <f t="shared" si="37"/>
        <v/>
      </c>
      <c r="G464" s="50" t="str">
        <f t="shared" si="38"/>
        <v/>
      </c>
    </row>
    <row r="465" spans="6:7" x14ac:dyDescent="0.25">
      <c r="F465" s="50" t="str">
        <f t="shared" si="37"/>
        <v/>
      </c>
      <c r="G465" s="50" t="str">
        <f t="shared" si="38"/>
        <v/>
      </c>
    </row>
    <row r="466" spans="6:7" x14ac:dyDescent="0.25">
      <c r="F466" s="50" t="str">
        <f t="shared" si="37"/>
        <v/>
      </c>
      <c r="G466" s="50" t="str">
        <f t="shared" si="38"/>
        <v/>
      </c>
    </row>
    <row r="467" spans="6:7" x14ac:dyDescent="0.25">
      <c r="F467" s="50" t="str">
        <f t="shared" si="37"/>
        <v/>
      </c>
      <c r="G467" s="50" t="str">
        <f t="shared" si="38"/>
        <v/>
      </c>
    </row>
    <row r="468" spans="6:7" x14ac:dyDescent="0.25">
      <c r="F468" s="50" t="str">
        <f t="shared" si="37"/>
        <v/>
      </c>
      <c r="G468" s="50" t="str">
        <f t="shared" si="38"/>
        <v/>
      </c>
    </row>
    <row r="469" spans="6:7" x14ac:dyDescent="0.25">
      <c r="F469" s="50" t="str">
        <f t="shared" si="37"/>
        <v/>
      </c>
      <c r="G469" s="50" t="str">
        <f t="shared" si="38"/>
        <v/>
      </c>
    </row>
    <row r="470" spans="6:7" x14ac:dyDescent="0.25">
      <c r="F470" s="50" t="str">
        <f t="shared" si="37"/>
        <v/>
      </c>
      <c r="G470" s="50" t="str">
        <f t="shared" si="38"/>
        <v/>
      </c>
    </row>
    <row r="471" spans="6:7" x14ac:dyDescent="0.25">
      <c r="F471" s="50" t="str">
        <f t="shared" si="37"/>
        <v/>
      </c>
      <c r="G471" s="50" t="str">
        <f t="shared" si="38"/>
        <v/>
      </c>
    </row>
    <row r="472" spans="6:7" x14ac:dyDescent="0.25">
      <c r="F472" s="50" t="str">
        <f t="shared" si="37"/>
        <v/>
      </c>
      <c r="G472" s="50" t="str">
        <f t="shared" si="38"/>
        <v/>
      </c>
    </row>
    <row r="473" spans="6:7" x14ac:dyDescent="0.25">
      <c r="F473" s="50" t="str">
        <f t="shared" si="37"/>
        <v/>
      </c>
      <c r="G473" s="50" t="str">
        <f t="shared" si="38"/>
        <v/>
      </c>
    </row>
    <row r="474" spans="6:7" x14ac:dyDescent="0.25">
      <c r="F474" s="50" t="str">
        <f t="shared" si="37"/>
        <v/>
      </c>
      <c r="G474" s="50" t="str">
        <f t="shared" si="38"/>
        <v/>
      </c>
    </row>
    <row r="475" spans="6:7" x14ac:dyDescent="0.25">
      <c r="F475" s="50" t="str">
        <f t="shared" si="37"/>
        <v/>
      </c>
      <c r="G475" s="50" t="str">
        <f t="shared" si="38"/>
        <v/>
      </c>
    </row>
    <row r="476" spans="6:7" x14ac:dyDescent="0.25">
      <c r="F476" s="50" t="str">
        <f t="shared" si="37"/>
        <v/>
      </c>
      <c r="G476" s="50" t="str">
        <f t="shared" si="38"/>
        <v/>
      </c>
    </row>
    <row r="477" spans="6:7" x14ac:dyDescent="0.25">
      <c r="F477" s="50" t="str">
        <f t="shared" si="37"/>
        <v/>
      </c>
      <c r="G477" s="50" t="str">
        <f t="shared" si="38"/>
        <v/>
      </c>
    </row>
    <row r="478" spans="6:7" x14ac:dyDescent="0.25">
      <c r="F478" s="50" t="str">
        <f t="shared" si="37"/>
        <v/>
      </c>
      <c r="G478" s="50" t="str">
        <f t="shared" si="38"/>
        <v/>
      </c>
    </row>
    <row r="479" spans="6:7" x14ac:dyDescent="0.25">
      <c r="F479" s="50" t="str">
        <f t="shared" si="37"/>
        <v/>
      </c>
      <c r="G479" s="50" t="str">
        <f t="shared" si="38"/>
        <v/>
      </c>
    </row>
    <row r="480" spans="6:7" x14ac:dyDescent="0.25">
      <c r="F480" s="50" t="str">
        <f t="shared" si="37"/>
        <v/>
      </c>
      <c r="G480" s="50" t="str">
        <f t="shared" si="38"/>
        <v/>
      </c>
    </row>
    <row r="481" spans="6:7" x14ac:dyDescent="0.25">
      <c r="F481" s="50" t="str">
        <f t="shared" si="37"/>
        <v/>
      </c>
      <c r="G481" s="50" t="str">
        <f t="shared" si="38"/>
        <v/>
      </c>
    </row>
    <row r="482" spans="6:7" x14ac:dyDescent="0.25">
      <c r="F482" s="50" t="str">
        <f t="shared" si="37"/>
        <v/>
      </c>
      <c r="G482" s="50"/>
    </row>
    <row r="483" spans="6:7" x14ac:dyDescent="0.25">
      <c r="F483" s="50" t="str">
        <f t="shared" si="37"/>
        <v/>
      </c>
      <c r="G483" s="50" t="str">
        <f t="shared" ref="G483:G499" si="39">IF(C$8="Phase based",IF(C483="","",(C$9/C$10)*C483),IF(D483="","",(D483/E483)))</f>
        <v/>
      </c>
    </row>
    <row r="484" spans="6:7" x14ac:dyDescent="0.25">
      <c r="F484" s="50" t="str">
        <f t="shared" si="37"/>
        <v/>
      </c>
      <c r="G484" s="50" t="str">
        <f t="shared" si="39"/>
        <v/>
      </c>
    </row>
    <row r="485" spans="6:7" x14ac:dyDescent="0.25">
      <c r="F485" s="50" t="str">
        <f t="shared" si="37"/>
        <v/>
      </c>
      <c r="G485" s="50" t="str">
        <f t="shared" si="39"/>
        <v/>
      </c>
    </row>
    <row r="486" spans="6:7" x14ac:dyDescent="0.25">
      <c r="F486" s="50" t="str">
        <f t="shared" si="37"/>
        <v/>
      </c>
      <c r="G486" s="50" t="str">
        <f t="shared" si="39"/>
        <v/>
      </c>
    </row>
    <row r="487" spans="6:7" x14ac:dyDescent="0.25">
      <c r="F487" s="50" t="str">
        <f t="shared" si="37"/>
        <v/>
      </c>
      <c r="G487" s="50" t="str">
        <f t="shared" si="39"/>
        <v/>
      </c>
    </row>
    <row r="488" spans="6:7" x14ac:dyDescent="0.25">
      <c r="F488" s="50" t="str">
        <f t="shared" si="37"/>
        <v/>
      </c>
      <c r="G488" s="50" t="str">
        <f t="shared" si="39"/>
        <v/>
      </c>
    </row>
    <row r="489" spans="6:7" x14ac:dyDescent="0.25">
      <c r="F489" s="50" t="str">
        <f t="shared" si="37"/>
        <v/>
      </c>
      <c r="G489" s="50" t="str">
        <f t="shared" si="39"/>
        <v/>
      </c>
    </row>
    <row r="490" spans="6:7" x14ac:dyDescent="0.25">
      <c r="F490" s="50" t="str">
        <f t="shared" si="37"/>
        <v/>
      </c>
      <c r="G490" s="50" t="str">
        <f t="shared" si="39"/>
        <v/>
      </c>
    </row>
    <row r="491" spans="6:7" x14ac:dyDescent="0.25">
      <c r="F491" s="50" t="str">
        <f t="shared" si="37"/>
        <v/>
      </c>
      <c r="G491" s="50" t="str">
        <f t="shared" si="39"/>
        <v/>
      </c>
    </row>
    <row r="492" spans="6:7" x14ac:dyDescent="0.25">
      <c r="F492" s="50" t="str">
        <f t="shared" si="37"/>
        <v/>
      </c>
      <c r="G492" s="50" t="str">
        <f t="shared" si="39"/>
        <v/>
      </c>
    </row>
    <row r="493" spans="6:7" x14ac:dyDescent="0.25">
      <c r="F493" s="50" t="str">
        <f t="shared" si="37"/>
        <v/>
      </c>
      <c r="G493" s="50" t="str">
        <f t="shared" si="39"/>
        <v/>
      </c>
    </row>
    <row r="494" spans="6:7" x14ac:dyDescent="0.25">
      <c r="F494" s="50" t="str">
        <f t="shared" si="37"/>
        <v/>
      </c>
      <c r="G494" s="50" t="str">
        <f t="shared" si="39"/>
        <v/>
      </c>
    </row>
    <row r="495" spans="6:7" x14ac:dyDescent="0.25">
      <c r="F495" s="51" t="str">
        <f t="shared" si="37"/>
        <v/>
      </c>
      <c r="G495" s="51" t="str">
        <f t="shared" si="39"/>
        <v/>
      </c>
    </row>
    <row r="496" spans="6:7" x14ac:dyDescent="0.25">
      <c r="F496" s="51" t="str">
        <f t="shared" si="37"/>
        <v/>
      </c>
      <c r="G496" s="51" t="str">
        <f t="shared" si="39"/>
        <v/>
      </c>
    </row>
    <row r="497" spans="6:7" x14ac:dyDescent="0.25">
      <c r="F497" s="51" t="str">
        <f t="shared" si="37"/>
        <v/>
      </c>
      <c r="G497" s="51" t="str">
        <f t="shared" si="39"/>
        <v/>
      </c>
    </row>
    <row r="498" spans="6:7" x14ac:dyDescent="0.25">
      <c r="F498" s="51" t="str">
        <f t="shared" si="37"/>
        <v/>
      </c>
      <c r="G498" s="51" t="str">
        <f t="shared" si="39"/>
        <v/>
      </c>
    </row>
    <row r="499" spans="6:7" x14ac:dyDescent="0.25">
      <c r="F499" s="51" t="str">
        <f t="shared" si="37"/>
        <v/>
      </c>
      <c r="G499" s="51" t="str">
        <f t="shared" si="39"/>
        <v/>
      </c>
    </row>
    <row r="500" spans="6:7" x14ac:dyDescent="0.25">
      <c r="F500" s="51" t="str">
        <f t="shared" ref="F500" si="40">IF($C$8="Phase based",IF(C500="","",$C$9*C500),IF(D500="","",D500))</f>
        <v/>
      </c>
      <c r="G500" s="51" t="str">
        <f t="shared" ref="G500" si="41">IF(C$8="Phase based",IF(C500="","",(C$9/C$10)*C500),IF(D500="","",(D500/E500)))</f>
        <v/>
      </c>
    </row>
  </sheetData>
  <sheetProtection algorithmName="SHA-512" hashValue="gGDMtClaPX2JK4d902e+cBVYsIDdTALHf6wky7+QltecXHPn3v5RyG+jCzFQnFTG6Gq8mRiGVnZCQ2hwLF+4kQ==" saltValue="yFWqI/g7a0Qna5YnQmQAlg==" spinCount="100000" sheet="1" objects="1" scenarios="1" pivotTables="0"/>
  <mergeCells count="65">
    <mergeCell ref="C2:G2"/>
    <mergeCell ref="I2:Z2"/>
    <mergeCell ref="C3:G3"/>
    <mergeCell ref="I3:Z3"/>
    <mergeCell ref="BE10:BI10"/>
    <mergeCell ref="AY10:BC10"/>
    <mergeCell ref="AS10:AW10"/>
    <mergeCell ref="AS8:AW8"/>
    <mergeCell ref="AY8:BC8"/>
    <mergeCell ref="AA7:AE7"/>
    <mergeCell ref="I7:M7"/>
    <mergeCell ref="I9:M9"/>
    <mergeCell ref="C6:G6"/>
    <mergeCell ref="I6:M6"/>
    <mergeCell ref="O6:S6"/>
    <mergeCell ref="U6:Y6"/>
    <mergeCell ref="B1:Z1"/>
    <mergeCell ref="BE8:BI8"/>
    <mergeCell ref="BE7:BI7"/>
    <mergeCell ref="BE9:BI9"/>
    <mergeCell ref="C8:G8"/>
    <mergeCell ref="I8:M8"/>
    <mergeCell ref="O8:S8"/>
    <mergeCell ref="U8:Y8"/>
    <mergeCell ref="AA8:AE8"/>
    <mergeCell ref="AG8:AK8"/>
    <mergeCell ref="AG7:AK7"/>
    <mergeCell ref="AM8:AQ8"/>
    <mergeCell ref="AY9:BC9"/>
    <mergeCell ref="AM7:AQ7"/>
    <mergeCell ref="AS7:AW7"/>
    <mergeCell ref="AS9:AW9"/>
    <mergeCell ref="Z11:Z12"/>
    <mergeCell ref="O9:S9"/>
    <mergeCell ref="O10:S10"/>
    <mergeCell ref="AR11:AR12"/>
    <mergeCell ref="AL11:AL12"/>
    <mergeCell ref="AG9:AK9"/>
    <mergeCell ref="AG10:AK10"/>
    <mergeCell ref="AM9:AQ9"/>
    <mergeCell ref="AM10:AQ10"/>
    <mergeCell ref="AA9:AE9"/>
    <mergeCell ref="AA10:AE10"/>
    <mergeCell ref="B11:B12"/>
    <mergeCell ref="BD11:BD12"/>
    <mergeCell ref="C7:G7"/>
    <mergeCell ref="C9:G9"/>
    <mergeCell ref="C10:G10"/>
    <mergeCell ref="H11:H12"/>
    <mergeCell ref="N11:N12"/>
    <mergeCell ref="U7:Y7"/>
    <mergeCell ref="U9:Y9"/>
    <mergeCell ref="U10:Y10"/>
    <mergeCell ref="T11:T12"/>
    <mergeCell ref="AY7:BC7"/>
    <mergeCell ref="I10:M10"/>
    <mergeCell ref="O7:S7"/>
    <mergeCell ref="AX11:AX12"/>
    <mergeCell ref="AF11:AF12"/>
    <mergeCell ref="BE6:BI6"/>
    <mergeCell ref="AA6:AE6"/>
    <mergeCell ref="AG6:AK6"/>
    <mergeCell ref="AM6:AQ6"/>
    <mergeCell ref="AS6:AW6"/>
    <mergeCell ref="AY6:BC6"/>
  </mergeCells>
  <conditionalFormatting sqref="BE10:BI10">
    <cfRule type="expression" dxfId="23" priority="4">
      <formula>BE8="Task based"</formula>
    </cfRule>
  </conditionalFormatting>
  <conditionalFormatting sqref="I9:M9">
    <cfRule type="expression" dxfId="22" priority="21">
      <formula>I8="Task based"</formula>
    </cfRule>
  </conditionalFormatting>
  <conditionalFormatting sqref="I10:M10">
    <cfRule type="expression" dxfId="21" priority="20">
      <formula>I8="Task based"</formula>
    </cfRule>
  </conditionalFormatting>
  <conditionalFormatting sqref="O9:S9">
    <cfRule type="expression" dxfId="20" priority="19">
      <formula>O8="Task based"</formula>
    </cfRule>
  </conditionalFormatting>
  <conditionalFormatting sqref="O10:S10">
    <cfRule type="expression" dxfId="19" priority="18">
      <formula>O8="Task based"</formula>
    </cfRule>
  </conditionalFormatting>
  <conditionalFormatting sqref="U9:Y9">
    <cfRule type="expression" dxfId="18" priority="17">
      <formula>U8="Task based"</formula>
    </cfRule>
  </conditionalFormatting>
  <conditionalFormatting sqref="U10:Y10">
    <cfRule type="expression" dxfId="17" priority="16">
      <formula>U8="Task based"</formula>
    </cfRule>
  </conditionalFormatting>
  <conditionalFormatting sqref="AA9:AE9">
    <cfRule type="expression" dxfId="16" priority="15">
      <formula>AA8="Task based"</formula>
    </cfRule>
  </conditionalFormatting>
  <conditionalFormatting sqref="AA10:AE10">
    <cfRule type="expression" dxfId="15" priority="14">
      <formula>AA8="Task based"</formula>
    </cfRule>
  </conditionalFormatting>
  <conditionalFormatting sqref="AG9:AK9">
    <cfRule type="expression" dxfId="14" priority="13">
      <formula>AG8="Task based"</formula>
    </cfRule>
  </conditionalFormatting>
  <conditionalFormatting sqref="AG10:AK10">
    <cfRule type="expression" dxfId="13" priority="12">
      <formula>AG8="Task based"</formula>
    </cfRule>
  </conditionalFormatting>
  <conditionalFormatting sqref="AM9:AQ9">
    <cfRule type="expression" dxfId="12" priority="11">
      <formula>AM8="Task based"</formula>
    </cfRule>
  </conditionalFormatting>
  <conditionalFormatting sqref="AM10:AQ10">
    <cfRule type="expression" dxfId="11" priority="10">
      <formula>AM8="Task based"</formula>
    </cfRule>
  </conditionalFormatting>
  <conditionalFormatting sqref="AS9:AW9">
    <cfRule type="expression" dxfId="10" priority="9">
      <formula>AS8="Task based"</formula>
    </cfRule>
  </conditionalFormatting>
  <conditionalFormatting sqref="AS10:AW10">
    <cfRule type="expression" dxfId="9" priority="8">
      <formula>AS8="Task based"</formula>
    </cfRule>
  </conditionalFormatting>
  <conditionalFormatting sqref="AY9:BC9">
    <cfRule type="expression" dxfId="8" priority="7">
      <formula>AY8="Task based"</formula>
    </cfRule>
  </conditionalFormatting>
  <conditionalFormatting sqref="AY10:BC10">
    <cfRule type="expression" dxfId="7" priority="6">
      <formula>AY8="Task based"</formula>
    </cfRule>
  </conditionalFormatting>
  <conditionalFormatting sqref="BE9:BI9">
    <cfRule type="expression" dxfId="6" priority="5">
      <formula>BE8="Task based"</formula>
    </cfRule>
  </conditionalFormatting>
  <conditionalFormatting sqref="C10:G10">
    <cfRule type="expression" dxfId="5" priority="2">
      <formula>C8="Task based"</formula>
    </cfRule>
  </conditionalFormatting>
  <conditionalFormatting sqref="C9:G9">
    <cfRule type="expression" dxfId="4" priority="1">
      <formula>C8="Task"</formula>
    </cfRule>
  </conditionalFormatting>
  <dataValidations count="4">
    <dataValidation operator="lessThanOrEqual" allowBlank="1" showInputMessage="1" showErrorMessage="1" errorTitle="Error" error="Sum of all phases should not be greater than 100%" sqref="C11 AY11 AS11 I11 O11 U11 AA11 AG11 AM11 BE11"/>
    <dataValidation type="list" allowBlank="1" showInputMessage="1" showErrorMessage="1" sqref="C6:G6 I6:M6 O6:S6 U6:Y6 AA6:AE6 AG6:AK6 AM6:AQ6 AS6:AW6 AY6:BC6 BE6:BI6">
      <formula1>Life_Cycle_Names</formula1>
    </dataValidation>
    <dataValidation type="list" allowBlank="1" showInputMessage="1" showErrorMessage="1" sqref="C3:G3">
      <formula1>"Yes, No"</formula1>
    </dataValidation>
    <dataValidation type="list" allowBlank="1" showInputMessage="1" showErrorMessage="1" sqref="C8:G8 I8:M8 O8:S8 U8:Y8 AA8:AE8 AG8:AK8 AM8:AQ8 AS8:AW8 AY8:BC8 BE8:BI8">
      <formula1>"Phase based, Task based"</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33"/>
  <sheetViews>
    <sheetView showGridLines="0" workbookViewId="0">
      <selection activeCell="J2" sqref="J2"/>
    </sheetView>
  </sheetViews>
  <sheetFormatPr defaultRowHeight="15" x14ac:dyDescent="0.25"/>
  <cols>
    <col min="1" max="1" width="6.140625" style="129" bestFit="1" customWidth="1" collapsed="1"/>
    <col min="2" max="3" width="30.7109375" style="129" customWidth="1" collapsed="1"/>
    <col min="4" max="4" width="23.5703125" style="129" customWidth="1" collapsed="1"/>
    <col min="5" max="5" width="23.85546875" style="129" customWidth="1" collapsed="1"/>
    <col min="6" max="16384" width="9.140625" style="25" collapsed="1"/>
  </cols>
  <sheetData>
    <row r="1" spans="1:11" ht="30" x14ac:dyDescent="0.25">
      <c r="A1" s="19" t="s">
        <v>113</v>
      </c>
      <c r="B1" s="19" t="s">
        <v>114</v>
      </c>
      <c r="C1" s="19" t="s">
        <v>115</v>
      </c>
      <c r="D1" s="19" t="s">
        <v>310</v>
      </c>
      <c r="E1" s="19" t="s">
        <v>231</v>
      </c>
      <c r="H1" s="25" t="s">
        <v>312</v>
      </c>
      <c r="I1" s="25" t="s">
        <v>313</v>
      </c>
    </row>
    <row r="2" spans="1:11" ht="30" x14ac:dyDescent="0.25">
      <c r="A2" s="129">
        <v>1</v>
      </c>
      <c r="B2" s="131" t="s">
        <v>238</v>
      </c>
      <c r="C2" s="131">
        <v>51424010</v>
      </c>
      <c r="D2" s="131"/>
      <c r="E2" s="129" t="s">
        <v>260</v>
      </c>
      <c r="G2" s="25" t="s">
        <v>311</v>
      </c>
      <c r="H2" s="25">
        <f>COUNTA(B:B)-1</f>
        <v>32</v>
      </c>
      <c r="I2" s="25">
        <v>20</v>
      </c>
      <c r="J2" s="25">
        <f>I2*9</f>
        <v>180</v>
      </c>
      <c r="K2" s="25">
        <f>J2*0.14</f>
        <v>25.200000000000003</v>
      </c>
    </row>
    <row r="3" spans="1:11" x14ac:dyDescent="0.25">
      <c r="A3" s="129">
        <v>2</v>
      </c>
      <c r="B3" s="131" t="s">
        <v>239</v>
      </c>
      <c r="C3" s="131">
        <v>51564448</v>
      </c>
      <c r="D3" s="131"/>
      <c r="E3" s="129" t="s">
        <v>232</v>
      </c>
      <c r="G3" s="25" t="s">
        <v>41</v>
      </c>
      <c r="I3" s="25">
        <f>H2*I2*9</f>
        <v>5760</v>
      </c>
      <c r="J3" s="25">
        <f>I3*0.14</f>
        <v>806.40000000000009</v>
      </c>
    </row>
    <row r="4" spans="1:11" x14ac:dyDescent="0.25">
      <c r="A4" s="129">
        <v>4</v>
      </c>
      <c r="B4" s="131" t="s">
        <v>240</v>
      </c>
      <c r="C4" s="131">
        <v>51634801</v>
      </c>
      <c r="D4" s="131"/>
      <c r="E4" s="129" t="s">
        <v>258</v>
      </c>
    </row>
    <row r="5" spans="1:11" x14ac:dyDescent="0.25">
      <c r="A5" s="129">
        <v>5</v>
      </c>
      <c r="B5" s="131" t="s">
        <v>241</v>
      </c>
      <c r="C5" s="131">
        <v>51527013</v>
      </c>
      <c r="D5" s="131"/>
      <c r="E5" s="129" t="s">
        <v>259</v>
      </c>
    </row>
    <row r="6" spans="1:11" x14ac:dyDescent="0.25">
      <c r="A6" s="129">
        <v>6</v>
      </c>
      <c r="B6" s="131" t="s">
        <v>242</v>
      </c>
      <c r="C6" s="131">
        <v>51539467</v>
      </c>
      <c r="D6" s="131"/>
      <c r="E6" s="129" t="s">
        <v>258</v>
      </c>
    </row>
    <row r="7" spans="1:11" x14ac:dyDescent="0.25">
      <c r="A7" s="129">
        <v>7</v>
      </c>
      <c r="B7" s="131" t="s">
        <v>243</v>
      </c>
      <c r="C7" s="131">
        <v>51593415</v>
      </c>
      <c r="D7" s="131"/>
      <c r="E7" s="129" t="s">
        <v>260</v>
      </c>
    </row>
    <row r="8" spans="1:11" x14ac:dyDescent="0.25">
      <c r="A8" s="129">
        <v>8</v>
      </c>
      <c r="B8" s="131" t="s">
        <v>244</v>
      </c>
      <c r="C8" s="131">
        <v>51681959</v>
      </c>
      <c r="D8" s="131"/>
      <c r="E8" s="129" t="s">
        <v>259</v>
      </c>
    </row>
    <row r="9" spans="1:11" x14ac:dyDescent="0.25">
      <c r="A9" s="129">
        <v>9</v>
      </c>
      <c r="B9" s="131" t="s">
        <v>245</v>
      </c>
      <c r="C9" s="131">
        <v>51733968</v>
      </c>
      <c r="D9" s="131"/>
      <c r="E9" s="129" t="s">
        <v>259</v>
      </c>
    </row>
    <row r="10" spans="1:11" x14ac:dyDescent="0.25">
      <c r="A10" s="129">
        <v>11</v>
      </c>
      <c r="B10" s="131" t="s">
        <v>246</v>
      </c>
      <c r="C10" s="131">
        <v>40150956</v>
      </c>
      <c r="D10" s="131"/>
      <c r="E10" s="129" t="s">
        <v>258</v>
      </c>
    </row>
    <row r="11" spans="1:11" x14ac:dyDescent="0.25">
      <c r="A11" s="129">
        <v>13</v>
      </c>
      <c r="B11" s="131" t="s">
        <v>247</v>
      </c>
      <c r="C11" s="131">
        <v>51619081</v>
      </c>
      <c r="D11" s="131"/>
      <c r="E11" s="129" t="s">
        <v>260</v>
      </c>
    </row>
    <row r="12" spans="1:11" x14ac:dyDescent="0.25">
      <c r="A12" s="129">
        <v>14</v>
      </c>
      <c r="B12" s="131" t="s">
        <v>248</v>
      </c>
      <c r="C12" s="131">
        <v>51632635</v>
      </c>
      <c r="D12" s="131"/>
      <c r="E12" s="129" t="s">
        <v>259</v>
      </c>
    </row>
    <row r="13" spans="1:11" x14ac:dyDescent="0.25">
      <c r="A13" s="129">
        <v>15</v>
      </c>
      <c r="B13" s="131" t="s">
        <v>249</v>
      </c>
      <c r="C13" s="131">
        <v>51690304</v>
      </c>
      <c r="D13" s="131"/>
      <c r="E13" s="129" t="s">
        <v>258</v>
      </c>
    </row>
    <row r="14" spans="1:11" x14ac:dyDescent="0.25">
      <c r="A14" s="129">
        <v>16</v>
      </c>
      <c r="B14" s="131" t="s">
        <v>250</v>
      </c>
      <c r="C14" s="131">
        <v>51340941</v>
      </c>
      <c r="D14" s="131"/>
      <c r="E14" s="129" t="s">
        <v>259</v>
      </c>
    </row>
    <row r="15" spans="1:11" x14ac:dyDescent="0.25">
      <c r="A15" s="129">
        <v>17</v>
      </c>
      <c r="B15" s="131" t="s">
        <v>251</v>
      </c>
      <c r="C15" s="131">
        <v>51425831</v>
      </c>
      <c r="D15" s="131"/>
      <c r="E15" s="129" t="s">
        <v>260</v>
      </c>
    </row>
    <row r="16" spans="1:11" x14ac:dyDescent="0.25">
      <c r="A16" s="129">
        <v>18</v>
      </c>
      <c r="B16" s="131" t="s">
        <v>252</v>
      </c>
      <c r="C16" s="131">
        <v>51542049</v>
      </c>
      <c r="D16" s="131"/>
      <c r="E16" s="129" t="s">
        <v>260</v>
      </c>
    </row>
    <row r="17" spans="1:5" x14ac:dyDescent="0.25">
      <c r="A17" s="129">
        <v>19</v>
      </c>
      <c r="B17" s="131" t="s">
        <v>253</v>
      </c>
      <c r="C17" s="131">
        <v>51550072</v>
      </c>
      <c r="D17" s="131"/>
      <c r="E17" s="129" t="s">
        <v>259</v>
      </c>
    </row>
    <row r="18" spans="1:5" x14ac:dyDescent="0.25">
      <c r="A18" s="129">
        <v>20</v>
      </c>
      <c r="B18" s="131" t="s">
        <v>254</v>
      </c>
      <c r="C18" s="131">
        <v>51660152</v>
      </c>
      <c r="D18" s="131"/>
      <c r="E18" s="129" t="s">
        <v>259</v>
      </c>
    </row>
    <row r="19" spans="1:5" x14ac:dyDescent="0.25">
      <c r="A19" s="129">
        <v>21</v>
      </c>
      <c r="B19" s="131" t="s">
        <v>255</v>
      </c>
      <c r="C19" s="131">
        <v>51476306</v>
      </c>
      <c r="D19" s="131"/>
      <c r="E19" s="129" t="s">
        <v>258</v>
      </c>
    </row>
    <row r="20" spans="1:5" x14ac:dyDescent="0.25">
      <c r="A20" s="129">
        <v>22</v>
      </c>
      <c r="B20" s="131" t="s">
        <v>256</v>
      </c>
      <c r="C20" s="132">
        <v>51626433</v>
      </c>
      <c r="D20" s="132"/>
      <c r="E20" s="129" t="s">
        <v>259</v>
      </c>
    </row>
    <row r="21" spans="1:5" x14ac:dyDescent="0.25">
      <c r="A21" s="129">
        <v>23</v>
      </c>
      <c r="B21" s="131" t="s">
        <v>257</v>
      </c>
      <c r="C21" s="132">
        <v>51756057</v>
      </c>
      <c r="D21" s="132"/>
      <c r="E21" s="129" t="s">
        <v>258</v>
      </c>
    </row>
    <row r="22" spans="1:5" x14ac:dyDescent="0.25">
      <c r="A22" s="129">
        <v>24</v>
      </c>
      <c r="B22" s="129" t="s">
        <v>273</v>
      </c>
      <c r="C22" s="129">
        <v>51587174</v>
      </c>
      <c r="E22" s="129" t="s">
        <v>258</v>
      </c>
    </row>
    <row r="23" spans="1:5" x14ac:dyDescent="0.25">
      <c r="A23" s="129">
        <v>25</v>
      </c>
      <c r="B23" s="129" t="s">
        <v>274</v>
      </c>
      <c r="C23" s="129">
        <v>51674323</v>
      </c>
      <c r="E23" s="129" t="s">
        <v>258</v>
      </c>
    </row>
    <row r="24" spans="1:5" x14ac:dyDescent="0.25">
      <c r="A24" s="129">
        <v>26</v>
      </c>
      <c r="B24" s="129" t="s">
        <v>275</v>
      </c>
      <c r="C24" s="129">
        <v>51711222</v>
      </c>
      <c r="E24" s="129" t="s">
        <v>258</v>
      </c>
    </row>
    <row r="25" spans="1:5" x14ac:dyDescent="0.25">
      <c r="A25" s="129">
        <v>27</v>
      </c>
      <c r="B25" s="129" t="s">
        <v>276</v>
      </c>
      <c r="C25" s="129">
        <v>51613790</v>
      </c>
      <c r="E25" s="129" t="s">
        <v>258</v>
      </c>
    </row>
    <row r="26" spans="1:5" x14ac:dyDescent="0.25">
      <c r="A26" s="129">
        <v>28</v>
      </c>
      <c r="B26" s="129" t="s">
        <v>277</v>
      </c>
      <c r="C26" s="129">
        <v>51378619</v>
      </c>
      <c r="E26" s="129" t="s">
        <v>258</v>
      </c>
    </row>
    <row r="27" spans="1:5" x14ac:dyDescent="0.25">
      <c r="A27" s="129">
        <v>29</v>
      </c>
      <c r="B27" s="129" t="s">
        <v>278</v>
      </c>
      <c r="C27" s="129">
        <v>51357719</v>
      </c>
      <c r="E27" s="129" t="s">
        <v>258</v>
      </c>
    </row>
    <row r="28" spans="1:5" x14ac:dyDescent="0.25">
      <c r="A28" s="129">
        <v>30</v>
      </c>
      <c r="B28" s="129" t="s">
        <v>315</v>
      </c>
      <c r="C28" s="129">
        <v>51546945</v>
      </c>
      <c r="D28" s="130" t="s">
        <v>316</v>
      </c>
    </row>
    <row r="29" spans="1:5" x14ac:dyDescent="0.25">
      <c r="A29" s="129">
        <v>31</v>
      </c>
      <c r="B29" s="129" t="s">
        <v>382</v>
      </c>
      <c r="C29" s="129">
        <v>51671941</v>
      </c>
      <c r="E29" s="129" t="s">
        <v>383</v>
      </c>
    </row>
    <row r="30" spans="1:5" x14ac:dyDescent="0.25">
      <c r="A30" s="129">
        <v>32</v>
      </c>
      <c r="B30" s="129" t="s">
        <v>384</v>
      </c>
      <c r="C30" s="129">
        <v>51629656</v>
      </c>
      <c r="E30" s="129" t="s">
        <v>385</v>
      </c>
    </row>
    <row r="31" spans="1:5" x14ac:dyDescent="0.25">
      <c r="A31" s="129">
        <v>33</v>
      </c>
      <c r="B31" s="133" t="s">
        <v>386</v>
      </c>
      <c r="C31" s="133">
        <v>51321820</v>
      </c>
      <c r="D31" s="133"/>
      <c r="E31" s="133" t="s">
        <v>387</v>
      </c>
    </row>
    <row r="32" spans="1:5" x14ac:dyDescent="0.25">
      <c r="A32" s="129">
        <v>34</v>
      </c>
      <c r="B32" s="133" t="s">
        <v>315</v>
      </c>
      <c r="C32" s="133">
        <v>51546945</v>
      </c>
      <c r="D32" s="133"/>
      <c r="E32" s="133" t="s">
        <v>258</v>
      </c>
    </row>
    <row r="33" spans="1:5" x14ac:dyDescent="0.25">
      <c r="A33" s="129">
        <v>35</v>
      </c>
      <c r="B33" s="133" t="s">
        <v>388</v>
      </c>
      <c r="C33" s="133">
        <v>51335738</v>
      </c>
      <c r="D33" s="133"/>
      <c r="E33" s="129" t="s">
        <v>385</v>
      </c>
    </row>
  </sheetData>
  <autoFilter ref="A1:E29"/>
  <hyperlinks>
    <hyperlink ref="D28" r:id="rId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S34"/>
  <sheetViews>
    <sheetView topLeftCell="A4" workbookViewId="0">
      <selection activeCell="B4" sqref="B4:B33"/>
    </sheetView>
  </sheetViews>
  <sheetFormatPr defaultRowHeight="15" x14ac:dyDescent="0.25"/>
  <cols>
    <col min="1" max="1" width="42.85546875" bestFit="1" customWidth="1" collapsed="1"/>
    <col min="2" max="2" width="20.7109375" customWidth="1" collapsed="1"/>
    <col min="3" max="3" width="24.7109375" customWidth="1" collapsed="1"/>
    <col min="4" max="6" width="2" bestFit="1" customWidth="1" collapsed="1"/>
    <col min="7" max="12" width="3" bestFit="1" customWidth="1" collapsed="1"/>
    <col min="13" max="17" width="4" bestFit="1" customWidth="1" collapsed="1"/>
    <col min="18" max="18" width="7.28515625" bestFit="1" customWidth="1" collapsed="1"/>
    <col min="19" max="19" width="11.28515625" bestFit="1" customWidth="1" collapsed="1"/>
  </cols>
  <sheetData>
    <row r="3" spans="1:3" x14ac:dyDescent="0.25">
      <c r="A3" s="111" t="s">
        <v>132</v>
      </c>
      <c r="B3" t="s">
        <v>162</v>
      </c>
    </row>
    <row r="4" spans="1:3" x14ac:dyDescent="0.25">
      <c r="A4" s="118" t="s">
        <v>276</v>
      </c>
      <c r="B4" s="120">
        <v>167</v>
      </c>
      <c r="C4">
        <f>180-B4</f>
        <v>13</v>
      </c>
    </row>
    <row r="5" spans="1:3" x14ac:dyDescent="0.25">
      <c r="A5" s="118" t="s">
        <v>275</v>
      </c>
      <c r="B5" s="120">
        <v>161</v>
      </c>
      <c r="C5">
        <f t="shared" ref="C5:C33" si="0">180-B5</f>
        <v>19</v>
      </c>
    </row>
    <row r="6" spans="1:3" x14ac:dyDescent="0.25">
      <c r="A6" s="118" t="s">
        <v>254</v>
      </c>
      <c r="B6" s="120">
        <v>193</v>
      </c>
      <c r="C6">
        <f t="shared" si="0"/>
        <v>-13</v>
      </c>
    </row>
    <row r="7" spans="1:3" x14ac:dyDescent="0.25">
      <c r="A7" s="118" t="s">
        <v>277</v>
      </c>
      <c r="B7" s="120">
        <v>197</v>
      </c>
      <c r="C7">
        <f t="shared" si="0"/>
        <v>-17</v>
      </c>
    </row>
    <row r="8" spans="1:3" x14ac:dyDescent="0.25">
      <c r="A8" s="118" t="s">
        <v>245</v>
      </c>
      <c r="B8" s="120">
        <v>190</v>
      </c>
      <c r="C8">
        <f t="shared" si="0"/>
        <v>-10</v>
      </c>
    </row>
    <row r="9" spans="1:3" x14ac:dyDescent="0.25">
      <c r="A9" s="118" t="s">
        <v>315</v>
      </c>
      <c r="B9" s="120">
        <v>180</v>
      </c>
      <c r="C9">
        <f t="shared" si="0"/>
        <v>0</v>
      </c>
    </row>
    <row r="10" spans="1:3" x14ac:dyDescent="0.25">
      <c r="A10" s="118" t="s">
        <v>240</v>
      </c>
      <c r="B10" s="120">
        <v>190</v>
      </c>
      <c r="C10">
        <f t="shared" si="0"/>
        <v>-10</v>
      </c>
    </row>
    <row r="11" spans="1:3" x14ac:dyDescent="0.25">
      <c r="A11" s="118" t="s">
        <v>255</v>
      </c>
      <c r="B11" s="120">
        <v>174</v>
      </c>
      <c r="C11">
        <f t="shared" si="0"/>
        <v>6</v>
      </c>
    </row>
    <row r="12" spans="1:3" x14ac:dyDescent="0.25">
      <c r="A12" s="118" t="s">
        <v>251</v>
      </c>
      <c r="B12" s="120">
        <v>207</v>
      </c>
      <c r="C12">
        <f t="shared" si="0"/>
        <v>-27</v>
      </c>
    </row>
    <row r="13" spans="1:3" x14ac:dyDescent="0.25">
      <c r="A13" s="118" t="s">
        <v>256</v>
      </c>
      <c r="B13" s="120">
        <v>200</v>
      </c>
      <c r="C13">
        <f t="shared" si="0"/>
        <v>-20</v>
      </c>
    </row>
    <row r="14" spans="1:3" x14ac:dyDescent="0.25">
      <c r="A14" s="118" t="s">
        <v>238</v>
      </c>
      <c r="B14" s="120">
        <v>178</v>
      </c>
      <c r="C14">
        <f t="shared" si="0"/>
        <v>2</v>
      </c>
    </row>
    <row r="15" spans="1:3" x14ac:dyDescent="0.25">
      <c r="A15" s="118" t="s">
        <v>253</v>
      </c>
      <c r="B15" s="120">
        <v>152</v>
      </c>
      <c r="C15">
        <f t="shared" si="0"/>
        <v>28</v>
      </c>
    </row>
    <row r="16" spans="1:3" x14ac:dyDescent="0.25">
      <c r="A16" s="118" t="s">
        <v>244</v>
      </c>
      <c r="B16" s="120">
        <v>143</v>
      </c>
      <c r="C16">
        <f t="shared" si="0"/>
        <v>37</v>
      </c>
    </row>
    <row r="17" spans="1:3" x14ac:dyDescent="0.25">
      <c r="A17" s="118" t="s">
        <v>242</v>
      </c>
      <c r="B17" s="120">
        <v>200</v>
      </c>
      <c r="C17">
        <f t="shared" si="0"/>
        <v>-20</v>
      </c>
    </row>
    <row r="18" spans="1:3" x14ac:dyDescent="0.25">
      <c r="A18" s="118" t="s">
        <v>257</v>
      </c>
      <c r="B18" s="120">
        <v>180</v>
      </c>
      <c r="C18">
        <f t="shared" si="0"/>
        <v>0</v>
      </c>
    </row>
    <row r="19" spans="1:3" x14ac:dyDescent="0.25">
      <c r="A19" s="118" t="s">
        <v>241</v>
      </c>
      <c r="B19" s="120">
        <v>180</v>
      </c>
      <c r="C19">
        <f t="shared" si="0"/>
        <v>0</v>
      </c>
    </row>
    <row r="20" spans="1:3" x14ac:dyDescent="0.25">
      <c r="A20" s="118" t="s">
        <v>278</v>
      </c>
      <c r="B20" s="120">
        <v>157</v>
      </c>
      <c r="C20">
        <f t="shared" si="0"/>
        <v>23</v>
      </c>
    </row>
    <row r="21" spans="1:3" x14ac:dyDescent="0.25">
      <c r="A21" s="118" t="s">
        <v>250</v>
      </c>
      <c r="B21" s="120">
        <v>190</v>
      </c>
      <c r="C21">
        <f t="shared" si="0"/>
        <v>-10</v>
      </c>
    </row>
    <row r="22" spans="1:3" x14ac:dyDescent="0.25">
      <c r="A22" s="118" t="s">
        <v>252</v>
      </c>
      <c r="B22" s="120">
        <v>161</v>
      </c>
      <c r="C22">
        <f t="shared" si="0"/>
        <v>19</v>
      </c>
    </row>
    <row r="23" spans="1:3" x14ac:dyDescent="0.25">
      <c r="A23" s="118" t="s">
        <v>239</v>
      </c>
      <c r="B23" s="120">
        <v>188</v>
      </c>
      <c r="C23">
        <f t="shared" si="0"/>
        <v>-8</v>
      </c>
    </row>
    <row r="24" spans="1:3" x14ac:dyDescent="0.25">
      <c r="A24" s="118" t="s">
        <v>243</v>
      </c>
      <c r="B24" s="120">
        <v>189</v>
      </c>
      <c r="C24">
        <f t="shared" si="0"/>
        <v>-9</v>
      </c>
    </row>
    <row r="25" spans="1:3" x14ac:dyDescent="0.25">
      <c r="A25" s="118" t="s">
        <v>273</v>
      </c>
      <c r="B25" s="120">
        <v>190</v>
      </c>
      <c r="C25">
        <f t="shared" si="0"/>
        <v>-10</v>
      </c>
    </row>
    <row r="26" spans="1:3" x14ac:dyDescent="0.25">
      <c r="A26" s="118" t="s">
        <v>247</v>
      </c>
      <c r="B26" s="120">
        <v>220</v>
      </c>
      <c r="C26">
        <f t="shared" si="0"/>
        <v>-40</v>
      </c>
    </row>
    <row r="27" spans="1:3" x14ac:dyDescent="0.25">
      <c r="A27" s="118" t="s">
        <v>246</v>
      </c>
      <c r="B27" s="120">
        <v>180</v>
      </c>
      <c r="C27">
        <f t="shared" si="0"/>
        <v>0</v>
      </c>
    </row>
    <row r="28" spans="1:3" x14ac:dyDescent="0.25">
      <c r="A28" s="118" t="s">
        <v>249</v>
      </c>
      <c r="B28" s="120">
        <v>165</v>
      </c>
      <c r="C28">
        <f t="shared" si="0"/>
        <v>15</v>
      </c>
    </row>
    <row r="29" spans="1:3" x14ac:dyDescent="0.25">
      <c r="A29" s="118" t="s">
        <v>274</v>
      </c>
      <c r="B29" s="120">
        <v>179</v>
      </c>
      <c r="C29">
        <f t="shared" si="0"/>
        <v>1</v>
      </c>
    </row>
    <row r="30" spans="1:3" x14ac:dyDescent="0.25">
      <c r="A30" s="118" t="s">
        <v>391</v>
      </c>
      <c r="B30" s="120"/>
      <c r="C30">
        <f t="shared" si="0"/>
        <v>180</v>
      </c>
    </row>
    <row r="31" spans="1:3" x14ac:dyDescent="0.25">
      <c r="A31" s="118" t="s">
        <v>382</v>
      </c>
      <c r="B31" s="120">
        <v>160</v>
      </c>
      <c r="C31">
        <f t="shared" si="0"/>
        <v>20</v>
      </c>
    </row>
    <row r="32" spans="1:3" x14ac:dyDescent="0.25">
      <c r="A32" s="118" t="s">
        <v>386</v>
      </c>
      <c r="B32" s="120">
        <v>190</v>
      </c>
      <c r="C32">
        <f t="shared" si="0"/>
        <v>-10</v>
      </c>
    </row>
    <row r="33" spans="1:3" x14ac:dyDescent="0.25">
      <c r="A33" s="118" t="s">
        <v>388</v>
      </c>
      <c r="B33" s="120">
        <v>60</v>
      </c>
      <c r="C33">
        <f t="shared" si="0"/>
        <v>120</v>
      </c>
    </row>
    <row r="34" spans="1:3" x14ac:dyDescent="0.25">
      <c r="A34" s="118" t="s">
        <v>168</v>
      </c>
      <c r="B34" s="120">
        <v>5121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113"/>
  <sheetViews>
    <sheetView showGridLines="0" tabSelected="1" topLeftCell="A110" zoomScale="90" zoomScaleNormal="90" workbookViewId="0">
      <selection activeCell="A114" sqref="A114:XFD186"/>
    </sheetView>
  </sheetViews>
  <sheetFormatPr defaultRowHeight="15" x14ac:dyDescent="0.25"/>
  <cols>
    <col min="1" max="1" width="5.5703125" style="60" bestFit="1" customWidth="1" collapsed="1"/>
    <col min="2" max="2" width="24" style="61" bestFit="1" customWidth="1" collapsed="1"/>
    <col min="3" max="3" width="10.42578125" style="60" customWidth="1" collapsed="1"/>
    <col min="4" max="4" width="50" style="62" bestFit="1" customWidth="1" collapsed="1"/>
    <col min="5" max="5" width="19.7109375" style="61" bestFit="1" customWidth="1" collapsed="1"/>
    <col min="6" max="6" width="25.7109375" style="61" customWidth="1" collapsed="1"/>
    <col min="7" max="7" width="9.28515625" style="37" bestFit="1" customWidth="1" collapsed="1"/>
    <col min="8" max="8" width="8.5703125" style="64" customWidth="1" collapsed="1"/>
    <col min="9" max="9" width="10.140625" style="65" customWidth="1" collapsed="1"/>
    <col min="10" max="10" width="10.85546875" style="65" bestFit="1" customWidth="1" collapsed="1"/>
    <col min="11" max="11" width="8.28515625" style="37" bestFit="1" customWidth="1" collapsed="1"/>
    <col min="12" max="12" width="12.7109375" style="37" bestFit="1" customWidth="1" collapsed="1"/>
    <col min="13" max="13" width="5.5703125" style="37" bestFit="1" customWidth="1" collapsed="1"/>
    <col min="14" max="14" width="8.7109375" style="37" bestFit="1" customWidth="1" collapsed="1"/>
    <col min="15" max="15" width="8.85546875" style="37" bestFit="1" customWidth="1" collapsed="1"/>
    <col min="16" max="16" width="10.7109375" style="38" customWidth="1" collapsed="1"/>
    <col min="17" max="27" width="9.140625" style="33" collapsed="1"/>
    <col min="28" max="28" width="9.140625" style="34" collapsed="1"/>
    <col min="29" max="29" width="11.42578125" style="39" bestFit="1" customWidth="1" collapsed="1"/>
    <col min="30" max="30" width="29" style="36" bestFit="1" customWidth="1" collapsed="1"/>
    <col min="31" max="16384" width="9.140625" style="33" collapsed="1"/>
  </cols>
  <sheetData>
    <row r="1" spans="1:30" s="126" customFormat="1" ht="30" x14ac:dyDescent="0.25">
      <c r="A1" s="122" t="s">
        <v>1</v>
      </c>
      <c r="B1" s="123" t="s">
        <v>15</v>
      </c>
      <c r="C1" s="123" t="s">
        <v>42</v>
      </c>
      <c r="D1" s="123" t="s">
        <v>2</v>
      </c>
      <c r="E1" s="123" t="s">
        <v>3</v>
      </c>
      <c r="F1" s="123" t="s">
        <v>4</v>
      </c>
      <c r="G1" s="124" t="s">
        <v>131</v>
      </c>
      <c r="H1" s="123" t="s">
        <v>5</v>
      </c>
      <c r="I1" s="123" t="s">
        <v>7</v>
      </c>
      <c r="J1" s="123" t="s">
        <v>49</v>
      </c>
      <c r="K1" s="124" t="s">
        <v>6</v>
      </c>
      <c r="L1" s="124" t="s">
        <v>8</v>
      </c>
      <c r="M1" s="124" t="s">
        <v>9</v>
      </c>
      <c r="N1" s="124" t="s">
        <v>10</v>
      </c>
      <c r="O1" s="124" t="s">
        <v>11</v>
      </c>
      <c r="P1" s="125" t="s">
        <v>66</v>
      </c>
      <c r="AB1" s="127"/>
      <c r="AC1" s="125" t="s">
        <v>37</v>
      </c>
      <c r="AD1" s="128" t="s">
        <v>43</v>
      </c>
    </row>
    <row r="2" spans="1:30" ht="60" x14ac:dyDescent="0.25">
      <c r="A2" s="56">
        <v>54</v>
      </c>
      <c r="B2" s="56" t="s">
        <v>261</v>
      </c>
      <c r="C2" s="57">
        <v>43466</v>
      </c>
      <c r="D2" s="58" t="s">
        <v>262</v>
      </c>
      <c r="E2" s="56" t="s">
        <v>138</v>
      </c>
      <c r="F2" s="56" t="s">
        <v>273</v>
      </c>
      <c r="G2" s="30">
        <f>IF(E2="","",IF(OR(E2="Project Management",E2="Project Support",E2="Sprint Management",E2="Sprint Support"),"NA",ROUND((((VLOOKUP(AD2,Formula!V:X,3,0)))-SUMIF(AD:AD,AD2,H:H)),2)))</f>
        <v>2.86</v>
      </c>
      <c r="H2" s="63">
        <v>120</v>
      </c>
      <c r="I2" s="63">
        <v>120</v>
      </c>
      <c r="J2" s="63" t="s">
        <v>203</v>
      </c>
      <c r="K2" s="31">
        <f>IF(E2="","",IF(OR(E2="Project Management",E2="Project Support",E2="Sprint Management",E2="Sprint Support"),"NA",(((SUMIF(AD:AD,AD2,H:H)/VLOOKUP(AD2,Formula!V:X,3,0))*VLOOKUP(AD2,Formula!V:X,2,0))*H2)/SUMIF(AD:AD,AD2,H:H)))</f>
        <v>16.799979156353405</v>
      </c>
      <c r="L2" s="31">
        <f t="shared" ref="L2:L86" si="0">IFERROR(IF(K2="NA",(H2/I2),(K2/I2)),"")</f>
        <v>0.13999982630294505</v>
      </c>
      <c r="M2" s="31">
        <f t="shared" ref="M2:M86" si="1">IFERROR(IF(K2="NA",1,(K2/H2)),"")</f>
        <v>0.13999982630294505</v>
      </c>
      <c r="N2" s="31">
        <f t="shared" ref="N2:N86" si="2">IFERROR(((L2-M2)/M2)*100,"")</f>
        <v>0</v>
      </c>
      <c r="O2" s="31">
        <f t="shared" ref="O2:O86" si="3">IFERROR(L2/M2,"")</f>
        <v>1</v>
      </c>
      <c r="P2" s="32">
        <f t="shared" ref="P2:P86" si="4">IF(O2="","",1)</f>
        <v>1</v>
      </c>
      <c r="AC2" s="35" t="str">
        <f>IF(B2="","",VLOOKUP(B2,Formula!B:C,2,0))</f>
        <v>Release_1</v>
      </c>
      <c r="AD2" s="36" t="str">
        <f t="shared" ref="AD2:AD53" si="5">IF(B2="","",CONCATENATE(B2,"_",E2))</f>
        <v>JFM19_Jan_Sprint_Code development</v>
      </c>
    </row>
    <row r="3" spans="1:30" ht="71.25" customHeight="1" x14ac:dyDescent="0.25">
      <c r="A3" s="56">
        <v>63</v>
      </c>
      <c r="B3" s="56" t="s">
        <v>261</v>
      </c>
      <c r="C3" s="57">
        <v>43466</v>
      </c>
      <c r="D3" s="58" t="s">
        <v>263</v>
      </c>
      <c r="E3" s="56" t="s">
        <v>138</v>
      </c>
      <c r="F3" s="56" t="s">
        <v>274</v>
      </c>
      <c r="G3" s="30">
        <f>IF(E3="","",IF(OR(E3="Project Management",E3="Project Support",E3="Sprint Management",E3="Sprint Support"),"NA",ROUND((((VLOOKUP(AD3,Formula!V:X,3,0)))-SUMIF(AD:AD,AD3,H:H)),2)))</f>
        <v>2.86</v>
      </c>
      <c r="H3" s="63">
        <v>110</v>
      </c>
      <c r="I3" s="63">
        <v>110</v>
      </c>
      <c r="J3" s="63" t="s">
        <v>203</v>
      </c>
      <c r="K3" s="31">
        <f>IF(E3="","",IF(OR(E3="Project Management",E3="Project Support",E3="Sprint Management",E3="Sprint Support"),"NA",(((SUMIF(AD:AD,AD3,H:H)/VLOOKUP(AD3,Formula!V:X,3,0))*VLOOKUP(AD3,Formula!V:X,2,0))*H3)/SUMIF(AD:AD,AD3,H:H)))</f>
        <v>15.399980893323955</v>
      </c>
      <c r="L3" s="31">
        <f t="shared" si="0"/>
        <v>0.13999982630294505</v>
      </c>
      <c r="M3" s="31">
        <f t="shared" si="1"/>
        <v>0.13999982630294505</v>
      </c>
      <c r="N3" s="31">
        <f t="shared" si="2"/>
        <v>0</v>
      </c>
      <c r="O3" s="31">
        <f t="shared" si="3"/>
        <v>1</v>
      </c>
      <c r="P3" s="32">
        <f t="shared" si="4"/>
        <v>1</v>
      </c>
      <c r="AC3" s="35" t="str">
        <f>IF(B3="","",VLOOKUP(B3,Formula!B:C,2,0))</f>
        <v>Release_1</v>
      </c>
      <c r="AD3" s="36" t="str">
        <f t="shared" si="5"/>
        <v>JFM19_Jan_Sprint_Code development</v>
      </c>
    </row>
    <row r="4" spans="1:30" ht="45" x14ac:dyDescent="0.25">
      <c r="A4" s="56">
        <v>103</v>
      </c>
      <c r="B4" s="56" t="s">
        <v>261</v>
      </c>
      <c r="C4" s="57">
        <v>43466</v>
      </c>
      <c r="D4" s="58" t="s">
        <v>264</v>
      </c>
      <c r="E4" s="56" t="s">
        <v>138</v>
      </c>
      <c r="F4" s="56" t="s">
        <v>253</v>
      </c>
      <c r="G4" s="30">
        <f>IF(E4="","",IF(OR(E4="Project Management",E4="Project Support",E4="Sprint Management",E4="Sprint Support"),"NA",ROUND((((VLOOKUP(AD4,Formula!V:X,3,0)))-SUMIF(AD:AD,AD4,H:H)),2)))</f>
        <v>2.86</v>
      </c>
      <c r="H4" s="63">
        <v>120</v>
      </c>
      <c r="I4" s="63">
        <v>120</v>
      </c>
      <c r="J4" s="63" t="s">
        <v>203</v>
      </c>
      <c r="K4" s="31">
        <f>IF(E4="","",IF(OR(E4="Project Management",E4="Project Support",E4="Sprint Management",E4="Sprint Support"),"NA",(((SUMIF(AD:AD,AD4,H:H)/VLOOKUP(AD4,Formula!V:X,3,0))*VLOOKUP(AD4,Formula!V:X,2,0))*H4)/SUMIF(AD:AD,AD4,H:H)))</f>
        <v>16.799979156353405</v>
      </c>
      <c r="L4" s="31">
        <f t="shared" ref="L4" si="6">IFERROR(IF(K4="NA",(H4/I4),(K4/I4)),"")</f>
        <v>0.13999982630294505</v>
      </c>
      <c r="M4" s="31">
        <f t="shared" ref="M4" si="7">IFERROR(IF(K4="NA",1,(K4/H4)),"")</f>
        <v>0.13999982630294505</v>
      </c>
      <c r="N4" s="31">
        <f t="shared" ref="N4" si="8">IFERROR(((L4-M4)/M4)*100,"")</f>
        <v>0</v>
      </c>
      <c r="O4" s="31">
        <f t="shared" ref="O4" si="9">IFERROR(L4/M4,"")</f>
        <v>1</v>
      </c>
      <c r="P4" s="32">
        <f t="shared" ref="P4" si="10">IF(O4="","",1)</f>
        <v>1</v>
      </c>
      <c r="AC4" s="35" t="str">
        <f>IF(B4="","",VLOOKUP(B4,Formula!B:C,2,0))</f>
        <v>Release_1</v>
      </c>
      <c r="AD4" s="36" t="str">
        <f t="shared" ref="AD4" si="11">IF(B4="","",CONCATENATE(B4,"_",E4))</f>
        <v>JFM19_Jan_Sprint_Code development</v>
      </c>
    </row>
    <row r="5" spans="1:30" ht="45" x14ac:dyDescent="0.25">
      <c r="A5" s="56">
        <v>103</v>
      </c>
      <c r="B5" s="56" t="s">
        <v>261</v>
      </c>
      <c r="C5" s="57">
        <v>43466</v>
      </c>
      <c r="D5" s="58" t="s">
        <v>281</v>
      </c>
      <c r="E5" s="56" t="s">
        <v>138</v>
      </c>
      <c r="F5" s="56" t="s">
        <v>244</v>
      </c>
      <c r="G5" s="30">
        <f>IF(E5="","",IF(OR(E5="Project Management",E5="Project Support",E5="Sprint Management",E5="Sprint Support"),"NA",ROUND((((VLOOKUP(AD5,Formula!V:X,3,0)))-SUMIF(AD:AD,AD5,H:H)),2)))</f>
        <v>2.86</v>
      </c>
      <c r="H5" s="63">
        <v>130</v>
      </c>
      <c r="I5" s="63">
        <v>130</v>
      </c>
      <c r="J5" s="63" t="s">
        <v>203</v>
      </c>
      <c r="K5" s="31">
        <f>IF(E5="","",IF(OR(E5="Project Management",E5="Project Support",E5="Sprint Management",E5="Sprint Support"),"NA",(((SUMIF(AD:AD,AD5,H:H)/VLOOKUP(AD5,Formula!V:X,3,0))*VLOOKUP(AD5,Formula!V:X,2,0))*H5)/SUMIF(AD:AD,AD5,H:H)))</f>
        <v>18.199977419382854</v>
      </c>
      <c r="L5" s="31">
        <f t="shared" si="0"/>
        <v>0.13999982630294502</v>
      </c>
      <c r="M5" s="31">
        <f t="shared" si="1"/>
        <v>0.13999982630294502</v>
      </c>
      <c r="N5" s="31">
        <f t="shared" si="2"/>
        <v>0</v>
      </c>
      <c r="O5" s="31">
        <f t="shared" si="3"/>
        <v>1</v>
      </c>
      <c r="P5" s="32">
        <f t="shared" si="4"/>
        <v>1</v>
      </c>
      <c r="AC5" s="35" t="str">
        <f>IF(B5="","",VLOOKUP(B5,Formula!B:C,2,0))</f>
        <v>Release_1</v>
      </c>
      <c r="AD5" s="36" t="str">
        <f t="shared" si="5"/>
        <v>JFM19_Jan_Sprint_Code development</v>
      </c>
    </row>
    <row r="6" spans="1:30" ht="45" x14ac:dyDescent="0.25">
      <c r="A6" s="56">
        <v>112</v>
      </c>
      <c r="B6" s="56" t="s">
        <v>261</v>
      </c>
      <c r="C6" s="57">
        <v>43466</v>
      </c>
      <c r="D6" s="58" t="s">
        <v>265</v>
      </c>
      <c r="E6" s="56" t="s">
        <v>138</v>
      </c>
      <c r="F6" s="56" t="s">
        <v>256</v>
      </c>
      <c r="G6" s="30">
        <f>IF(E6="","",IF(OR(E6="Project Management",E6="Project Support",E6="Sprint Management",E6="Sprint Support"),"NA",ROUND((((VLOOKUP(AD6,Formula!V:X,3,0)))-SUMIF(AD:AD,AD6,H:H)),2)))</f>
        <v>2.86</v>
      </c>
      <c r="H6" s="63">
        <v>90</v>
      </c>
      <c r="I6" s="63">
        <v>90</v>
      </c>
      <c r="J6" s="63" t="s">
        <v>203</v>
      </c>
      <c r="K6" s="31">
        <f>IF(E6="","",IF(OR(E6="Project Management",E6="Project Support",E6="Sprint Management",E6="Sprint Support"),"NA",(((SUMIF(AD:AD,AD6,H:H)/VLOOKUP(AD6,Formula!V:X,3,0))*VLOOKUP(AD6,Formula!V:X,2,0))*H6)/SUMIF(AD:AD,AD6,H:H)))</f>
        <v>12.599984367265055</v>
      </c>
      <c r="L6" s="31">
        <f t="shared" si="0"/>
        <v>0.13999982630294505</v>
      </c>
      <c r="M6" s="31">
        <f t="shared" si="1"/>
        <v>0.13999982630294505</v>
      </c>
      <c r="N6" s="31">
        <f t="shared" si="2"/>
        <v>0</v>
      </c>
      <c r="O6" s="31">
        <f t="shared" si="3"/>
        <v>1</v>
      </c>
      <c r="P6" s="32">
        <f t="shared" si="4"/>
        <v>1</v>
      </c>
      <c r="AC6" s="35" t="str">
        <f>IF(B6="","",VLOOKUP(B6,Formula!B:C,2,0))</f>
        <v>Release_1</v>
      </c>
      <c r="AD6" s="36" t="str">
        <f t="shared" si="5"/>
        <v>JFM19_Jan_Sprint_Code development</v>
      </c>
    </row>
    <row r="7" spans="1:30" ht="45" x14ac:dyDescent="0.25">
      <c r="A7" s="56">
        <v>37</v>
      </c>
      <c r="B7" s="56" t="s">
        <v>261</v>
      </c>
      <c r="C7" s="57">
        <v>43466</v>
      </c>
      <c r="D7" s="59" t="s">
        <v>266</v>
      </c>
      <c r="E7" s="56" t="s">
        <v>138</v>
      </c>
      <c r="F7" s="56" t="s">
        <v>255</v>
      </c>
      <c r="G7" s="30">
        <f>IF(E7="","",IF(OR(E7="Project Management",E7="Project Support",E7="Sprint Management",E7="Sprint Support"),"NA",ROUND((((VLOOKUP(AD7,Formula!V:X,3,0)))-SUMIF(AD:AD,AD7,H:H)),2)))</f>
        <v>2.86</v>
      </c>
      <c r="H7" s="63">
        <v>120</v>
      </c>
      <c r="I7" s="63">
        <v>120</v>
      </c>
      <c r="J7" s="63" t="s">
        <v>203</v>
      </c>
      <c r="K7" s="31">
        <f>IF(E7="","",IF(OR(E7="Project Management",E7="Project Support",E7="Sprint Management",E7="Sprint Support"),"NA",(((SUMIF(AD:AD,AD7,H:H)/VLOOKUP(AD7,Formula!V:X,3,0))*VLOOKUP(AD7,Formula!V:X,2,0))*H7)/SUMIF(AD:AD,AD7,H:H)))</f>
        <v>16.799979156353405</v>
      </c>
      <c r="L7" s="31">
        <f t="shared" si="0"/>
        <v>0.13999982630294505</v>
      </c>
      <c r="M7" s="31">
        <f t="shared" si="1"/>
        <v>0.13999982630294505</v>
      </c>
      <c r="N7" s="31">
        <f t="shared" si="2"/>
        <v>0</v>
      </c>
      <c r="O7" s="31">
        <f t="shared" si="3"/>
        <v>1</v>
      </c>
      <c r="P7" s="32">
        <f t="shared" si="4"/>
        <v>1</v>
      </c>
      <c r="AC7" s="35" t="str">
        <f>IF(B7="","",VLOOKUP(B7,Formula!B:C,2,0))</f>
        <v>Release_1</v>
      </c>
      <c r="AD7" s="36" t="str">
        <f t="shared" si="5"/>
        <v>JFM19_Jan_Sprint_Code development</v>
      </c>
    </row>
    <row r="8" spans="1:30" ht="105" x14ac:dyDescent="0.25">
      <c r="A8" s="56">
        <v>41</v>
      </c>
      <c r="B8" s="56" t="s">
        <v>261</v>
      </c>
      <c r="C8" s="57">
        <v>43466</v>
      </c>
      <c r="D8" s="59" t="s">
        <v>267</v>
      </c>
      <c r="E8" s="56" t="s">
        <v>138</v>
      </c>
      <c r="F8" s="56" t="s">
        <v>249</v>
      </c>
      <c r="G8" s="30">
        <f>IF(E8="","",IF(OR(E8="Project Management",E8="Project Support",E8="Sprint Management",E8="Sprint Support"),"NA",ROUND((((VLOOKUP(AD8,Formula!V:X,3,0)))-SUMIF(AD:AD,AD8,H:H)),2)))</f>
        <v>2.86</v>
      </c>
      <c r="H8" s="63">
        <v>75</v>
      </c>
      <c r="I8" s="63">
        <v>75</v>
      </c>
      <c r="J8" s="63" t="s">
        <v>203</v>
      </c>
      <c r="K8" s="31">
        <f>IF(E8="","",IF(OR(E8="Project Management",E8="Project Support",E8="Sprint Management",E8="Sprint Support"),"NA",(((SUMIF(AD:AD,AD8,H:H)/VLOOKUP(AD8,Formula!V:X,3,0))*VLOOKUP(AD8,Formula!V:X,2,0))*H8)/SUMIF(AD:AD,AD8,H:H)))</f>
        <v>10.499986972720878</v>
      </c>
      <c r="L8" s="31">
        <f t="shared" si="0"/>
        <v>0.13999982630294505</v>
      </c>
      <c r="M8" s="31">
        <f t="shared" si="1"/>
        <v>0.13999982630294505</v>
      </c>
      <c r="N8" s="31">
        <f t="shared" si="2"/>
        <v>0</v>
      </c>
      <c r="O8" s="31">
        <f t="shared" si="3"/>
        <v>1</v>
      </c>
      <c r="P8" s="32">
        <f t="shared" si="4"/>
        <v>1</v>
      </c>
      <c r="AC8" s="35" t="str">
        <f>IF(B8="","",VLOOKUP(B8,Formula!B:C,2,0))</f>
        <v>Release_1</v>
      </c>
      <c r="AD8" s="36" t="str">
        <f t="shared" si="5"/>
        <v>JFM19_Jan_Sprint_Code development</v>
      </c>
    </row>
    <row r="9" spans="1:30" x14ac:dyDescent="0.25">
      <c r="A9" s="56">
        <v>49</v>
      </c>
      <c r="B9" s="56" t="s">
        <v>261</v>
      </c>
      <c r="C9" s="57">
        <v>43466</v>
      </c>
      <c r="D9" s="59" t="s">
        <v>268</v>
      </c>
      <c r="E9" s="56" t="s">
        <v>138</v>
      </c>
      <c r="F9" s="56" t="s">
        <v>246</v>
      </c>
      <c r="G9" s="30">
        <f>IF(E9="","",IF(OR(E9="Project Management",E9="Project Support",E9="Sprint Management",E9="Sprint Support"),"NA",ROUND((((VLOOKUP(AD9,Formula!V:X,3,0)))-SUMIF(AD:AD,AD9,H:H)),2)))</f>
        <v>2.86</v>
      </c>
      <c r="H9" s="63">
        <v>90</v>
      </c>
      <c r="I9" s="63">
        <v>90</v>
      </c>
      <c r="J9" s="63" t="s">
        <v>203</v>
      </c>
      <c r="K9" s="31">
        <f>IF(E9="","",IF(OR(E9="Project Management",E9="Project Support",E9="Sprint Management",E9="Sprint Support"),"NA",(((SUMIF(AD:AD,AD9,H:H)/VLOOKUP(AD9,Formula!V:X,3,0))*VLOOKUP(AD9,Formula!V:X,2,0))*H9)/SUMIF(AD:AD,AD9,H:H)))</f>
        <v>12.599984367265055</v>
      </c>
      <c r="L9" s="31">
        <f t="shared" si="0"/>
        <v>0.13999982630294505</v>
      </c>
      <c r="M9" s="31">
        <f t="shared" si="1"/>
        <v>0.13999982630294505</v>
      </c>
      <c r="N9" s="31">
        <f t="shared" si="2"/>
        <v>0</v>
      </c>
      <c r="O9" s="31">
        <f t="shared" si="3"/>
        <v>1</v>
      </c>
      <c r="P9" s="32">
        <f t="shared" si="4"/>
        <v>1</v>
      </c>
      <c r="AC9" s="35" t="str">
        <f>IF(B9="","",VLOOKUP(B9,Formula!B:C,2,0))</f>
        <v>Release_1</v>
      </c>
      <c r="AD9" s="36" t="str">
        <f t="shared" si="5"/>
        <v>JFM19_Jan_Sprint_Code development</v>
      </c>
    </row>
    <row r="10" spans="1:30" ht="45" x14ac:dyDescent="0.25">
      <c r="A10" s="56">
        <v>68</v>
      </c>
      <c r="B10" s="56" t="s">
        <v>261</v>
      </c>
      <c r="C10" s="57">
        <v>43466</v>
      </c>
      <c r="D10" s="59" t="s">
        <v>269</v>
      </c>
      <c r="E10" s="56" t="s">
        <v>138</v>
      </c>
      <c r="F10" s="56" t="s">
        <v>277</v>
      </c>
      <c r="G10" s="30">
        <f>IF(E10="","",IF(OR(E10="Project Management",E10="Project Support",E10="Sprint Management",E10="Sprint Support"),"NA",ROUND((((VLOOKUP(AD10,Formula!V:X,3,0)))-SUMIF(AD:AD,AD10,H:H)),2)))</f>
        <v>2.86</v>
      </c>
      <c r="H10" s="63">
        <v>90</v>
      </c>
      <c r="I10" s="63">
        <v>90</v>
      </c>
      <c r="J10" s="63" t="s">
        <v>203</v>
      </c>
      <c r="K10" s="31">
        <f>IF(E10="","",IF(OR(E10="Project Management",E10="Project Support",E10="Sprint Management",E10="Sprint Support"),"NA",(((SUMIF(AD:AD,AD10,H:H)/VLOOKUP(AD10,Formula!V:X,3,0))*VLOOKUP(AD10,Formula!V:X,2,0))*H10)/SUMIF(AD:AD,AD10,H:H)))</f>
        <v>12.599984367265055</v>
      </c>
      <c r="L10" s="31">
        <f t="shared" si="0"/>
        <v>0.13999982630294505</v>
      </c>
      <c r="M10" s="31">
        <f t="shared" si="1"/>
        <v>0.13999982630294505</v>
      </c>
      <c r="N10" s="31">
        <f t="shared" si="2"/>
        <v>0</v>
      </c>
      <c r="O10" s="31">
        <f t="shared" si="3"/>
        <v>1</v>
      </c>
      <c r="P10" s="32">
        <f t="shared" si="4"/>
        <v>1</v>
      </c>
      <c r="AC10" s="35" t="str">
        <f>IF(B10="","",VLOOKUP(B10,Formula!B:C,2,0))</f>
        <v>Release_1</v>
      </c>
      <c r="AD10" s="36" t="str">
        <f t="shared" si="5"/>
        <v>JFM19_Jan_Sprint_Code development</v>
      </c>
    </row>
    <row r="11" spans="1:30" x14ac:dyDescent="0.25">
      <c r="A11" s="56">
        <v>98</v>
      </c>
      <c r="B11" s="56" t="s">
        <v>261</v>
      </c>
      <c r="C11" s="57">
        <v>43466</v>
      </c>
      <c r="D11" s="59" t="s">
        <v>270</v>
      </c>
      <c r="E11" s="56" t="s">
        <v>138</v>
      </c>
      <c r="F11" s="56" t="s">
        <v>249</v>
      </c>
      <c r="G11" s="30">
        <f>IF(E11="","",IF(OR(E11="Project Management",E11="Project Support",E11="Sprint Management",E11="Sprint Support"),"NA",ROUND((((VLOOKUP(AD11,Formula!V:X,3,0)))-SUMIF(AD:AD,AD11,H:H)),2)))</f>
        <v>2.86</v>
      </c>
      <c r="H11" s="63">
        <v>90</v>
      </c>
      <c r="I11" s="63">
        <v>90</v>
      </c>
      <c r="J11" s="63" t="s">
        <v>203</v>
      </c>
      <c r="K11" s="31">
        <f>IF(E11="","",IF(OR(E11="Project Management",E11="Project Support",E11="Sprint Management",E11="Sprint Support"),"NA",(((SUMIF(AD:AD,AD11,H:H)/VLOOKUP(AD11,Formula!V:X,3,0))*VLOOKUP(AD11,Formula!V:X,2,0))*H11)/SUMIF(AD:AD,AD11,H:H)))</f>
        <v>12.599984367265055</v>
      </c>
      <c r="L11" s="31">
        <f t="shared" si="0"/>
        <v>0.13999982630294505</v>
      </c>
      <c r="M11" s="31">
        <f t="shared" si="1"/>
        <v>0.13999982630294505</v>
      </c>
      <c r="N11" s="31">
        <f t="shared" si="2"/>
        <v>0</v>
      </c>
      <c r="O11" s="31">
        <f t="shared" si="3"/>
        <v>1</v>
      </c>
      <c r="P11" s="32">
        <f t="shared" si="4"/>
        <v>1</v>
      </c>
      <c r="AC11" s="35" t="str">
        <f>IF(B11="","",VLOOKUP(B11,Formula!B:C,2,0))</f>
        <v>Release_1</v>
      </c>
      <c r="AD11" s="36" t="str">
        <f t="shared" si="5"/>
        <v>JFM19_Jan_Sprint_Code development</v>
      </c>
    </row>
    <row r="12" spans="1:30" ht="30" x14ac:dyDescent="0.25">
      <c r="A12" s="56">
        <v>117</v>
      </c>
      <c r="B12" s="56" t="s">
        <v>261</v>
      </c>
      <c r="C12" s="57">
        <v>43466</v>
      </c>
      <c r="D12" s="58" t="s">
        <v>271</v>
      </c>
      <c r="E12" s="56" t="s">
        <v>138</v>
      </c>
      <c r="F12" s="56" t="s">
        <v>382</v>
      </c>
      <c r="G12" s="30">
        <f>IF(E12="","",IF(OR(E12="Project Management",E12="Project Support",E12="Sprint Management",E12="Sprint Support"),"NA",ROUND((((VLOOKUP(AD12,Formula!V:X,3,0)))-SUMIF(AD:AD,AD12,H:H)),2)))</f>
        <v>2.86</v>
      </c>
      <c r="H12" s="63">
        <v>90</v>
      </c>
      <c r="I12" s="63">
        <v>90</v>
      </c>
      <c r="J12" s="63" t="s">
        <v>203</v>
      </c>
      <c r="K12" s="31">
        <f>IF(E12="","",IF(OR(E12="Project Management",E12="Project Support",E12="Sprint Management",E12="Sprint Support"),"NA",(((SUMIF(AD:AD,AD12,H:H)/VLOOKUP(AD12,Formula!V:X,3,0))*VLOOKUP(AD12,Formula!V:X,2,0))*H12)/SUMIF(AD:AD,AD12,H:H)))</f>
        <v>12.599984367265055</v>
      </c>
      <c r="L12" s="31">
        <f t="shared" si="0"/>
        <v>0.13999982630294505</v>
      </c>
      <c r="M12" s="31">
        <f t="shared" si="1"/>
        <v>0.13999982630294505</v>
      </c>
      <c r="N12" s="31">
        <f t="shared" si="2"/>
        <v>0</v>
      </c>
      <c r="O12" s="31">
        <f t="shared" si="3"/>
        <v>1</v>
      </c>
      <c r="P12" s="32">
        <f t="shared" si="4"/>
        <v>1</v>
      </c>
      <c r="AC12" s="35" t="str">
        <f>IF(B12="","",VLOOKUP(B12,Formula!B:C,2,0))</f>
        <v>Release_1</v>
      </c>
      <c r="AD12" s="36" t="str">
        <f t="shared" si="5"/>
        <v>JFM19_Jan_Sprint_Code development</v>
      </c>
    </row>
    <row r="13" spans="1:30" ht="30" x14ac:dyDescent="0.25">
      <c r="A13" s="56">
        <v>81</v>
      </c>
      <c r="B13" s="56" t="s">
        <v>261</v>
      </c>
      <c r="C13" s="57">
        <v>43466</v>
      </c>
      <c r="D13" s="59" t="s">
        <v>279</v>
      </c>
      <c r="E13" s="56" t="s">
        <v>138</v>
      </c>
      <c r="F13" s="56" t="s">
        <v>278</v>
      </c>
      <c r="G13" s="30">
        <f>IF(E13="","",IF(OR(E13="Project Management",E13="Project Support",E13="Sprint Management",E13="Sprint Support"),"NA",ROUND((((VLOOKUP(AD13,Formula!V:X,3,0)))-SUMIF(AD:AD,AD13,H:H)),2)))</f>
        <v>2.86</v>
      </c>
      <c r="H13" s="63">
        <v>120</v>
      </c>
      <c r="I13" s="63">
        <v>120</v>
      </c>
      <c r="J13" s="63" t="s">
        <v>203</v>
      </c>
      <c r="K13" s="31">
        <f>IF(E13="","",IF(OR(E13="Project Management",E13="Project Support",E13="Sprint Management",E13="Sprint Support"),"NA",(((SUMIF(AD:AD,AD13,H:H)/VLOOKUP(AD13,Formula!V:X,3,0))*VLOOKUP(AD13,Formula!V:X,2,0))*H13)/SUMIF(AD:AD,AD13,H:H)))</f>
        <v>16.799979156353405</v>
      </c>
      <c r="L13" s="31">
        <f t="shared" ref="L13" si="12">IFERROR(IF(K13="NA",(H13/I13),(K13/I13)),"")</f>
        <v>0.13999982630294505</v>
      </c>
      <c r="M13" s="31">
        <f t="shared" ref="M13" si="13">IFERROR(IF(K13="NA",1,(K13/H13)),"")</f>
        <v>0.13999982630294505</v>
      </c>
      <c r="N13" s="31">
        <f t="shared" ref="N13" si="14">IFERROR(((L13-M13)/M13)*100,"")</f>
        <v>0</v>
      </c>
      <c r="O13" s="31">
        <f t="shared" ref="O13" si="15">IFERROR(L13/M13,"")</f>
        <v>1</v>
      </c>
      <c r="P13" s="32">
        <f t="shared" ref="P13" si="16">IF(O13="","",1)</f>
        <v>1</v>
      </c>
      <c r="AC13" s="35" t="str">
        <f>IF(B13="","",VLOOKUP(B13,Formula!B:C,2,0))</f>
        <v>Release_1</v>
      </c>
      <c r="AD13" s="36" t="str">
        <f t="shared" ref="AD13" si="17">IF(B13="","",CONCATENATE(B13,"_",E13))</f>
        <v>JFM19_Jan_Sprint_Code development</v>
      </c>
    </row>
    <row r="14" spans="1:30" ht="30" x14ac:dyDescent="0.25">
      <c r="A14" s="56">
        <v>81</v>
      </c>
      <c r="B14" s="56" t="s">
        <v>261</v>
      </c>
      <c r="C14" s="57">
        <v>43466</v>
      </c>
      <c r="D14" s="59" t="s">
        <v>280</v>
      </c>
      <c r="E14" s="56" t="s">
        <v>138</v>
      </c>
      <c r="F14" s="56" t="s">
        <v>386</v>
      </c>
      <c r="G14" s="30">
        <f>IF(E14="","",IF(OR(E14="Project Management",E14="Project Support",E14="Sprint Management",E14="Sprint Support"),"NA",ROUND((((VLOOKUP(AD14,Formula!V:X,3,0)))-SUMIF(AD:AD,AD14,H:H)),2)))</f>
        <v>2.86</v>
      </c>
      <c r="H14" s="63">
        <v>120</v>
      </c>
      <c r="I14" s="63">
        <v>120</v>
      </c>
      <c r="J14" s="63" t="s">
        <v>203</v>
      </c>
      <c r="K14" s="31">
        <f>IF(E14="","",IF(OR(E14="Project Management",E14="Project Support",E14="Sprint Management",E14="Sprint Support"),"NA",(((SUMIF(AD:AD,AD14,H:H)/VLOOKUP(AD14,Formula!V:X,3,0))*VLOOKUP(AD14,Formula!V:X,2,0))*H14)/SUMIF(AD:AD,AD14,H:H)))</f>
        <v>16.799979156353405</v>
      </c>
      <c r="L14" s="31">
        <f t="shared" si="0"/>
        <v>0.13999982630294505</v>
      </c>
      <c r="M14" s="31">
        <f t="shared" si="1"/>
        <v>0.13999982630294505</v>
      </c>
      <c r="N14" s="31">
        <f t="shared" si="2"/>
        <v>0</v>
      </c>
      <c r="O14" s="31">
        <f t="shared" si="3"/>
        <v>1</v>
      </c>
      <c r="P14" s="32">
        <f t="shared" si="4"/>
        <v>1</v>
      </c>
      <c r="AC14" s="35" t="str">
        <f>IF(B14="","",VLOOKUP(B14,Formula!B:C,2,0))</f>
        <v>Release_1</v>
      </c>
      <c r="AD14" s="36" t="str">
        <f t="shared" si="5"/>
        <v>JFM19_Jan_Sprint_Code development</v>
      </c>
    </row>
    <row r="15" spans="1:30" x14ac:dyDescent="0.25">
      <c r="A15" s="56">
        <v>87</v>
      </c>
      <c r="B15" s="56" t="s">
        <v>261</v>
      </c>
      <c r="C15" s="57">
        <v>43466</v>
      </c>
      <c r="D15" s="59" t="s">
        <v>272</v>
      </c>
      <c r="E15" s="56" t="s">
        <v>138</v>
      </c>
      <c r="F15" s="56" t="s">
        <v>275</v>
      </c>
      <c r="G15" s="30">
        <f>IF(E15="","",IF(OR(E15="Project Management",E15="Project Support",E15="Sprint Management",E15="Sprint Support"),"NA",ROUND((((VLOOKUP(AD15,Formula!V:X,3,0)))-SUMIF(AD:AD,AD15,H:H)),2)))</f>
        <v>2.86</v>
      </c>
      <c r="H15" s="63">
        <v>120</v>
      </c>
      <c r="I15" s="63">
        <v>120</v>
      </c>
      <c r="J15" s="63" t="s">
        <v>203</v>
      </c>
      <c r="K15" s="31">
        <f>IF(E15="","",IF(OR(E15="Project Management",E15="Project Support",E15="Sprint Management",E15="Sprint Support"),"NA",(((SUMIF(AD:AD,AD15,H:H)/VLOOKUP(AD15,Formula!V:X,3,0))*VLOOKUP(AD15,Formula!V:X,2,0))*H15)/SUMIF(AD:AD,AD15,H:H)))</f>
        <v>16.799979156353405</v>
      </c>
      <c r="L15" s="31">
        <f t="shared" si="0"/>
        <v>0.13999982630294505</v>
      </c>
      <c r="M15" s="31">
        <f t="shared" si="1"/>
        <v>0.13999982630294505</v>
      </c>
      <c r="N15" s="31">
        <f t="shared" si="2"/>
        <v>0</v>
      </c>
      <c r="O15" s="31">
        <f t="shared" si="3"/>
        <v>1</v>
      </c>
      <c r="P15" s="32">
        <f t="shared" si="4"/>
        <v>1</v>
      </c>
      <c r="AC15" s="35" t="str">
        <f>IF(B15="","",VLOOKUP(B15,Formula!B:C,2,0))</f>
        <v>Release_1</v>
      </c>
      <c r="AD15" s="36" t="str">
        <f t="shared" si="5"/>
        <v>JFM19_Jan_Sprint_Code development</v>
      </c>
    </row>
    <row r="16" spans="1:30" x14ac:dyDescent="0.25">
      <c r="A16" s="56">
        <v>93</v>
      </c>
      <c r="B16" s="56" t="s">
        <v>261</v>
      </c>
      <c r="C16" s="57">
        <v>43466</v>
      </c>
      <c r="D16" s="58" t="s">
        <v>314</v>
      </c>
      <c r="E16" s="56" t="s">
        <v>51</v>
      </c>
      <c r="F16" s="56" t="s">
        <v>242</v>
      </c>
      <c r="G16" s="30">
        <f>IF(E16="","",IF(OR(E16="Project Management",E16="Project Support",E16="Sprint Management",E16="Sprint Support"),"NA",ROUND((((VLOOKUP(AD16,Formula!V:X,3,0)))-SUMIF(AD:AD,AD16,H:H)),2)))</f>
        <v>-2.14</v>
      </c>
      <c r="H16" s="63">
        <v>90</v>
      </c>
      <c r="I16" s="63">
        <v>90</v>
      </c>
      <c r="J16" s="63" t="s">
        <v>203</v>
      </c>
      <c r="K16" s="31">
        <f>IF(E16="","",IF(OR(E16="Project Management",E16="Project Support",E16="Sprint Management",E16="Sprint Support"),"NA",(((SUMIF(AD:AD,AD16,H:H)/VLOOKUP(AD16,Formula!V:X,3,0))*VLOOKUP(AD16,Formula!V:X,2,0))*H16)/SUMIF(AD:AD,AD16,H:H)))</f>
        <v>12.599874939206558</v>
      </c>
      <c r="L16" s="31">
        <f t="shared" si="0"/>
        <v>0.13999861043562842</v>
      </c>
      <c r="M16" s="31">
        <f t="shared" si="1"/>
        <v>0.13999861043562842</v>
      </c>
      <c r="N16" s="31">
        <f t="shared" si="2"/>
        <v>0</v>
      </c>
      <c r="O16" s="31">
        <f t="shared" si="3"/>
        <v>1</v>
      </c>
      <c r="P16" s="32">
        <f t="shared" si="4"/>
        <v>1</v>
      </c>
      <c r="AC16" s="35" t="str">
        <f>IF(B16="","",VLOOKUP(B16,Formula!B:C,2,0))</f>
        <v>Release_1</v>
      </c>
      <c r="AD16" s="36" t="str">
        <f t="shared" si="5"/>
        <v>JFM19_Jan_Sprint_Test case creation</v>
      </c>
    </row>
    <row r="17" spans="1:30" x14ac:dyDescent="0.25">
      <c r="A17" s="56">
        <v>8</v>
      </c>
      <c r="B17" s="56" t="s">
        <v>261</v>
      </c>
      <c r="C17" s="57">
        <v>43466</v>
      </c>
      <c r="D17" s="58" t="s">
        <v>204</v>
      </c>
      <c r="E17" s="56" t="s">
        <v>139</v>
      </c>
      <c r="F17" s="56" t="s">
        <v>250</v>
      </c>
      <c r="G17" s="30">
        <f>IF(E17="","",IF(OR(E17="Project Management",E17="Project Support",E17="Sprint Management",E17="Sprint Support"),"NA",ROUND((((VLOOKUP(AD17,Formula!V:X,3,0)))-SUMIF(AD:AD,AD17,H:H)),2)))</f>
        <v>35.14</v>
      </c>
      <c r="H17" s="63">
        <v>40</v>
      </c>
      <c r="I17" s="63">
        <v>40</v>
      </c>
      <c r="J17" s="63" t="s">
        <v>203</v>
      </c>
      <c r="K17" s="31">
        <f>IF(E17="","",IF(OR(E17="Project Management",E17="Project Support",E17="Sprint Management",E17="Sprint Support"),"NA",(((SUMIF(AD:AD,AD17,H:H)/VLOOKUP(AD17,Formula!V:X,3,0))*VLOOKUP(AD17,Formula!V:X,2,0))*H17)/SUMIF(AD:AD,AD17,H:H)))</f>
        <v>5.6001389612645482</v>
      </c>
      <c r="L17" s="31">
        <f t="shared" si="0"/>
        <v>0.1400034740316137</v>
      </c>
      <c r="M17" s="31">
        <f t="shared" si="1"/>
        <v>0.1400034740316137</v>
      </c>
      <c r="N17" s="31">
        <f t="shared" si="2"/>
        <v>0</v>
      </c>
      <c r="O17" s="31">
        <f t="shared" si="3"/>
        <v>1</v>
      </c>
      <c r="P17" s="32">
        <f t="shared" si="4"/>
        <v>1</v>
      </c>
      <c r="AC17" s="35" t="str">
        <f>IF(B17="","",VLOOKUP(B17,Formula!B:C,2,0))</f>
        <v>Release_1</v>
      </c>
      <c r="AD17" s="36" t="str">
        <f t="shared" si="5"/>
        <v>JFM19_Jan_Sprint_Test case review</v>
      </c>
    </row>
    <row r="18" spans="1:30" x14ac:dyDescent="0.25">
      <c r="A18" s="56">
        <v>9</v>
      </c>
      <c r="B18" s="56" t="s">
        <v>261</v>
      </c>
      <c r="C18" s="57">
        <v>43466</v>
      </c>
      <c r="D18" s="59" t="s">
        <v>205</v>
      </c>
      <c r="E18" s="56" t="s">
        <v>51</v>
      </c>
      <c r="F18" s="56" t="s">
        <v>315</v>
      </c>
      <c r="G18" s="30">
        <f>IF(E18="","",IF(OR(E18="Project Management",E18="Project Support",E18="Sprint Management",E18="Sprint Support"),"NA",ROUND((((VLOOKUP(AD18,Formula!V:X,3,0)))-SUMIF(AD:AD,AD18,H:H)),2)))</f>
        <v>75.709999999999994</v>
      </c>
      <c r="H18" s="63">
        <v>120</v>
      </c>
      <c r="I18" s="63">
        <v>90</v>
      </c>
      <c r="J18" s="63" t="s">
        <v>203</v>
      </c>
      <c r="K18" s="31">
        <f>IF(E18="","",IF(OR(E18="Project Management",E18="Project Support",E18="Sprint Management",E18="Sprint Support"),"NA",(((SUMIF(AD:AD,AD18,H:H)/VLOOKUP(AD18,Formula!V:X,3,0))*VLOOKUP(AD18,Formula!V:X,2,0))*H18)/SUMIF(AD:AD,AD18,H:H)))</f>
        <v>16.80012506296573</v>
      </c>
      <c r="L18" s="31">
        <f t="shared" si="0"/>
        <v>0.18666805625517477</v>
      </c>
      <c r="M18" s="31">
        <f t="shared" si="1"/>
        <v>0.14000104219138107</v>
      </c>
      <c r="N18" s="31">
        <f t="shared" si="2"/>
        <v>33.333333333333343</v>
      </c>
      <c r="O18" s="31">
        <f t="shared" si="3"/>
        <v>1.3333333333333335</v>
      </c>
      <c r="P18" s="32">
        <f t="shared" si="4"/>
        <v>1</v>
      </c>
      <c r="AC18" s="35" t="str">
        <f>IF(B18="","",VLOOKUP(B18,Formula!B:C,2,0))</f>
        <v>Release_1</v>
      </c>
      <c r="AD18" s="36" t="str">
        <f>IF(B18="","",CONCATENATE(B18,"_",E28))</f>
        <v>JFM19_Jan_Sprint_Manual testing</v>
      </c>
    </row>
    <row r="19" spans="1:30" x14ac:dyDescent="0.25">
      <c r="A19" s="56">
        <v>93</v>
      </c>
      <c r="B19" s="56" t="s">
        <v>261</v>
      </c>
      <c r="C19" s="57">
        <v>43466</v>
      </c>
      <c r="D19" s="58" t="s">
        <v>314</v>
      </c>
      <c r="E19" s="56" t="s">
        <v>51</v>
      </c>
      <c r="F19" s="56" t="s">
        <v>245</v>
      </c>
      <c r="G19" s="30">
        <f>IF(E19="","",IF(OR(E19="Project Management",E19="Project Support",E19="Sprint Management",E19="Sprint Support"),"NA",ROUND((((VLOOKUP(AD19,Formula!V:X,3,0)))-SUMIF(AD:AD,AD19,H:H)),2)))</f>
        <v>-2.14</v>
      </c>
      <c r="H19" s="63">
        <v>90</v>
      </c>
      <c r="I19" s="63">
        <v>90</v>
      </c>
      <c r="J19" s="63" t="s">
        <v>203</v>
      </c>
      <c r="K19" s="31">
        <f>IF(E19="","",IF(OR(E19="Project Management",E19="Project Support",E19="Sprint Management",E19="Sprint Support"),"NA",(((SUMIF(AD:AD,AD19,H:H)/VLOOKUP(AD19,Formula!V:X,3,0))*VLOOKUP(AD19,Formula!V:X,2,0))*H19)/SUMIF(AD:AD,AD19,H:H)))</f>
        <v>12.599874939206558</v>
      </c>
      <c r="L19" s="31">
        <f t="shared" ref="L19:L24" si="18">IFERROR(IF(K19="NA",(H19/I19),(K19/I19)),"")</f>
        <v>0.13999861043562842</v>
      </c>
      <c r="M19" s="31">
        <f t="shared" ref="M19:M24" si="19">IFERROR(IF(K19="NA",1,(K19/H19)),"")</f>
        <v>0.13999861043562842</v>
      </c>
      <c r="N19" s="31">
        <f t="shared" ref="N19:N24" si="20">IFERROR(((L19-M19)/M19)*100,"")</f>
        <v>0</v>
      </c>
      <c r="O19" s="31">
        <f t="shared" ref="O19:O24" si="21">IFERROR(L19/M19,"")</f>
        <v>1</v>
      </c>
      <c r="P19" s="32">
        <f t="shared" ref="P19:P24" si="22">IF(O19="","",1)</f>
        <v>1</v>
      </c>
      <c r="AC19" s="35" t="str">
        <f>IF(B19="","",VLOOKUP(B19,Formula!B:C,2,0))</f>
        <v>Release_1</v>
      </c>
      <c r="AD19" s="36" t="str">
        <f t="shared" ref="AD19:AD20" si="23">IF(B19="","",CONCATENATE(B19,"_",E19))</f>
        <v>JFM19_Jan_Sprint_Test case creation</v>
      </c>
    </row>
    <row r="20" spans="1:30" x14ac:dyDescent="0.25">
      <c r="A20" s="56">
        <v>8</v>
      </c>
      <c r="B20" s="56" t="s">
        <v>261</v>
      </c>
      <c r="C20" s="57">
        <v>43466</v>
      </c>
      <c r="D20" s="58" t="s">
        <v>204</v>
      </c>
      <c r="E20" s="56" t="s">
        <v>139</v>
      </c>
      <c r="F20" s="56" t="s">
        <v>245</v>
      </c>
      <c r="G20" s="30">
        <f>IF(E20="","",IF(OR(E20="Project Management",E20="Project Support",E20="Sprint Management",E20="Sprint Support"),"NA",ROUND((((VLOOKUP(AD20,Formula!V:X,3,0)))-SUMIF(AD:AD,AD20,H:H)),2)))</f>
        <v>35.14</v>
      </c>
      <c r="H20" s="63">
        <v>40</v>
      </c>
      <c r="I20" s="63">
        <v>40</v>
      </c>
      <c r="J20" s="63" t="s">
        <v>203</v>
      </c>
      <c r="K20" s="31">
        <f>IF(E20="","",IF(OR(E20="Project Management",E20="Project Support",E20="Sprint Management",E20="Sprint Support"),"NA",(((SUMIF(AD:AD,AD20,H:H)/VLOOKUP(AD20,Formula!V:X,3,0))*VLOOKUP(AD20,Formula!V:X,2,0))*H20)/SUMIF(AD:AD,AD20,H:H)))</f>
        <v>5.6001389612645482</v>
      </c>
      <c r="L20" s="31">
        <f t="shared" si="18"/>
        <v>0.1400034740316137</v>
      </c>
      <c r="M20" s="31">
        <f t="shared" si="19"/>
        <v>0.1400034740316137</v>
      </c>
      <c r="N20" s="31">
        <f t="shared" si="20"/>
        <v>0</v>
      </c>
      <c r="O20" s="31">
        <f t="shared" si="21"/>
        <v>1</v>
      </c>
      <c r="P20" s="32">
        <f t="shared" si="22"/>
        <v>1</v>
      </c>
      <c r="AC20" s="35" t="str">
        <f>IF(B20="","",VLOOKUP(B20,Formula!B:C,2,0))</f>
        <v>Release_1</v>
      </c>
      <c r="AD20" s="36" t="str">
        <f t="shared" si="23"/>
        <v>JFM19_Jan_Sprint_Test case review</v>
      </c>
    </row>
    <row r="21" spans="1:30" x14ac:dyDescent="0.25">
      <c r="A21" s="56">
        <v>9</v>
      </c>
      <c r="B21" s="56" t="s">
        <v>261</v>
      </c>
      <c r="C21" s="57">
        <v>43466</v>
      </c>
      <c r="D21" s="59" t="s">
        <v>392</v>
      </c>
      <c r="E21" s="56" t="s">
        <v>145</v>
      </c>
      <c r="F21" s="56" t="s">
        <v>386</v>
      </c>
      <c r="G21" s="30">
        <f>IF(E21="","",IF(OR(E21="Project Management",E21="Project Support",E21="Sprint Management",E21="Sprint Support"),"NA",ROUND((((VLOOKUP(AD21,Formula!V:X,3,0)))-SUMIF(AD:AD,AD21,H:H)),2)))</f>
        <v>5.71</v>
      </c>
      <c r="H21" s="63">
        <v>70</v>
      </c>
      <c r="I21" s="63">
        <v>90</v>
      </c>
      <c r="J21" s="63" t="s">
        <v>203</v>
      </c>
      <c r="K21" s="31">
        <f>IF(E21="","",IF(OR(E21="Project Management",E21="Project Support",E21="Sprint Management",E21="Sprint Support"),"NA",(((SUMIF(AD:AD,AD21,H:H)/VLOOKUP(AD21,Formula!V:X,3,0))*VLOOKUP(AD21,Formula!V:X,2,0))*H21)/SUMIF(AD:AD,AD21,H:H)))</f>
        <v>9.8000729533966773</v>
      </c>
      <c r="L21" s="31">
        <f t="shared" ref="L21:L22" si="24">IFERROR(IF(K21="NA",(H21/I21),(K21/I21)),"")</f>
        <v>0.1088896994821853</v>
      </c>
      <c r="M21" s="31">
        <f t="shared" ref="M21:M22" si="25">IFERROR(IF(K21="NA",1,(K21/H21)),"")</f>
        <v>0.1400010421913811</v>
      </c>
      <c r="N21" s="31">
        <f t="shared" ref="N21:N22" si="26">IFERROR(((L21-M21)/M21)*100,"")</f>
        <v>-22.222222222222221</v>
      </c>
      <c r="O21" s="31">
        <f t="shared" ref="O21:O22" si="27">IFERROR(L21/M21,"")</f>
        <v>0.77777777777777779</v>
      </c>
      <c r="P21" s="32">
        <f t="shared" ref="P21:P22" si="28">IF(O21="","",1)</f>
        <v>1</v>
      </c>
      <c r="AC21" s="35" t="str">
        <f>IF(B21="","",VLOOKUP(B21,Formula!B:C,2,0))</f>
        <v>Release_1</v>
      </c>
      <c r="AD21" s="36" t="str">
        <f>IF(B21="","",CONCATENATE(B21,"_",E30))</f>
        <v>JFM19_Jan_Sprint_Sprint Support Activities</v>
      </c>
    </row>
    <row r="22" spans="1:30" x14ac:dyDescent="0.25">
      <c r="A22" s="56">
        <v>9</v>
      </c>
      <c r="B22" s="56" t="s">
        <v>261</v>
      </c>
      <c r="C22" s="57">
        <v>43466</v>
      </c>
      <c r="D22" s="59" t="s">
        <v>392</v>
      </c>
      <c r="E22" s="56" t="s">
        <v>145</v>
      </c>
      <c r="F22" s="56" t="s">
        <v>246</v>
      </c>
      <c r="G22" s="30">
        <f>IF(E22="","",IF(OR(E22="Project Management",E22="Project Support",E22="Sprint Management",E22="Sprint Support"),"NA",ROUND((((VLOOKUP(AD22,Formula!V:X,3,0)))-SUMIF(AD:AD,AD22,H:H)),2)))</f>
        <v>5.71</v>
      </c>
      <c r="H22" s="63">
        <v>90</v>
      </c>
      <c r="I22" s="63">
        <v>90</v>
      </c>
      <c r="J22" s="63" t="s">
        <v>203</v>
      </c>
      <c r="K22" s="31">
        <f>IF(E22="","",IF(OR(E22="Project Management",E22="Project Support",E22="Sprint Management",E22="Sprint Support"),"NA",(((SUMIF(AD:AD,AD22,H:H)/VLOOKUP(AD22,Formula!V:X,3,0))*VLOOKUP(AD22,Formula!V:X,2,0))*H22)/SUMIF(AD:AD,AD22,H:H)))</f>
        <v>12.600093797224298</v>
      </c>
      <c r="L22" s="31">
        <f t="shared" si="24"/>
        <v>0.1400010421913811</v>
      </c>
      <c r="M22" s="31">
        <f t="shared" si="25"/>
        <v>0.1400010421913811</v>
      </c>
      <c r="N22" s="31">
        <f t="shared" si="26"/>
        <v>0</v>
      </c>
      <c r="O22" s="31">
        <f t="shared" si="27"/>
        <v>1</v>
      </c>
      <c r="P22" s="32">
        <f t="shared" si="28"/>
        <v>1</v>
      </c>
      <c r="AC22" s="35" t="str">
        <f>IF(B22="","",VLOOKUP(B22,Formula!B:C,2,0))</f>
        <v>Release_1</v>
      </c>
      <c r="AD22" s="36" t="str">
        <f>IF(B22="","",CONCATENATE(B22,"_",E30))</f>
        <v>JFM19_Jan_Sprint_Sprint Support Activities</v>
      </c>
    </row>
    <row r="23" spans="1:30" x14ac:dyDescent="0.25">
      <c r="A23" s="56">
        <v>9</v>
      </c>
      <c r="B23" s="56" t="s">
        <v>261</v>
      </c>
      <c r="C23" s="57">
        <v>43466</v>
      </c>
      <c r="D23" s="59" t="s">
        <v>392</v>
      </c>
      <c r="E23" s="56" t="s">
        <v>145</v>
      </c>
      <c r="F23" s="56" t="s">
        <v>277</v>
      </c>
      <c r="G23" s="30">
        <f>IF(E23="","",IF(OR(E23="Project Management",E23="Project Support",E23="Sprint Management",E23="Sprint Support"),"NA",ROUND((((VLOOKUP(AD23,Formula!V:X,3,0)))-SUMIF(AD:AD,AD23,H:H)),2)))</f>
        <v>5.71</v>
      </c>
      <c r="H23" s="63">
        <v>90</v>
      </c>
      <c r="I23" s="63">
        <v>90</v>
      </c>
      <c r="J23" s="63" t="s">
        <v>203</v>
      </c>
      <c r="K23" s="31">
        <f>IF(E23="","",IF(OR(E23="Project Management",E23="Project Support",E23="Sprint Management",E23="Sprint Support"),"NA",(((SUMIF(AD:AD,AD23,H:H)/VLOOKUP(AD23,Formula!V:X,3,0))*VLOOKUP(AD23,Formula!V:X,2,0))*H23)/SUMIF(AD:AD,AD23,H:H)))</f>
        <v>12.600093797224298</v>
      </c>
      <c r="L23" s="31">
        <f t="shared" si="18"/>
        <v>0.1400010421913811</v>
      </c>
      <c r="M23" s="31">
        <f t="shared" si="19"/>
        <v>0.1400010421913811</v>
      </c>
      <c r="N23" s="31">
        <f t="shared" si="20"/>
        <v>0</v>
      </c>
      <c r="O23" s="31">
        <f t="shared" si="21"/>
        <v>1</v>
      </c>
      <c r="P23" s="32">
        <f t="shared" si="22"/>
        <v>1</v>
      </c>
      <c r="AC23" s="35" t="str">
        <f>IF(B23="","",VLOOKUP(B23,Formula!B:C,2,0))</f>
        <v>Release_1</v>
      </c>
      <c r="AD23" s="36" t="str">
        <f>IF(B23="","",CONCATENATE(B23,"_",E31))</f>
        <v>JFM19_Jan_Sprint_Sprint Support Activities</v>
      </c>
    </row>
    <row r="24" spans="1:30" x14ac:dyDescent="0.25">
      <c r="A24" s="56">
        <v>10</v>
      </c>
      <c r="B24" s="56" t="s">
        <v>261</v>
      </c>
      <c r="C24" s="57">
        <v>43466</v>
      </c>
      <c r="D24" s="59" t="s">
        <v>317</v>
      </c>
      <c r="E24" s="56" t="s">
        <v>51</v>
      </c>
      <c r="F24" s="56" t="s">
        <v>388</v>
      </c>
      <c r="G24" s="30">
        <f>IF(E24="","",IF(OR(E24="Project Management",E24="Project Support",E24="Sprint Management",E24="Sprint Support"),"NA",ROUND((((VLOOKUP(AD24,Formula!V:X,3,0)))-SUMIF(AD:AD,AD24,H:H)),2)))</f>
        <v>-2.14</v>
      </c>
      <c r="H24" s="63">
        <v>60</v>
      </c>
      <c r="I24" s="63">
        <v>50</v>
      </c>
      <c r="J24" s="63" t="s">
        <v>203</v>
      </c>
      <c r="K24" s="31">
        <f>IF(E24="","",IF(OR(E24="Project Management",E24="Project Support",E24="Sprint Management",E24="Sprint Support"),"NA",(((SUMIF(AD:AD,AD24,H:H)/VLOOKUP(AD24,Formula!V:X,3,0))*VLOOKUP(AD24,Formula!V:X,2,0))*H24)/SUMIF(AD:AD,AD24,H:H)))</f>
        <v>8.3999166261377045</v>
      </c>
      <c r="L24" s="31">
        <f t="shared" si="18"/>
        <v>0.16799833252275409</v>
      </c>
      <c r="M24" s="31">
        <f t="shared" si="19"/>
        <v>0.13999861043562842</v>
      </c>
      <c r="N24" s="31">
        <f t="shared" si="20"/>
        <v>19.999999999999993</v>
      </c>
      <c r="O24" s="31">
        <f t="shared" si="21"/>
        <v>1.2</v>
      </c>
      <c r="P24" s="32">
        <f t="shared" si="22"/>
        <v>1</v>
      </c>
      <c r="AC24" s="35" t="str">
        <f>IF(B24="","",VLOOKUP(B24,Formula!B:C,2,0))</f>
        <v>Release_1</v>
      </c>
      <c r="AD24" s="36" t="str">
        <f t="shared" ref="AD24" si="29">IF(B24="","",CONCATENATE(B24,"_",E24))</f>
        <v>JFM19_Jan_Sprint_Test case creation</v>
      </c>
    </row>
    <row r="25" spans="1:30" x14ac:dyDescent="0.25">
      <c r="A25" s="56">
        <v>10</v>
      </c>
      <c r="B25" s="56" t="s">
        <v>261</v>
      </c>
      <c r="C25" s="57">
        <v>43466</v>
      </c>
      <c r="D25" s="59" t="s">
        <v>317</v>
      </c>
      <c r="E25" s="56" t="s">
        <v>51</v>
      </c>
      <c r="F25" s="56" t="s">
        <v>250</v>
      </c>
      <c r="G25" s="30">
        <f>IF(E25="","",IF(OR(E25="Project Management",E25="Project Support",E25="Sprint Management",E25="Sprint Support"),"NA",ROUND((((VLOOKUP(AD25,Formula!V:X,3,0)))-SUMIF(AD:AD,AD25,H:H)),2)))</f>
        <v>-2.14</v>
      </c>
      <c r="H25" s="63">
        <v>50</v>
      </c>
      <c r="I25" s="63">
        <v>50</v>
      </c>
      <c r="J25" s="63" t="s">
        <v>203</v>
      </c>
      <c r="K25" s="31">
        <f>IF(E25="","",IF(OR(E25="Project Management",E25="Project Support",E25="Sprint Management",E25="Sprint Support"),"NA",(((SUMIF(AD:AD,AD25,H:H)/VLOOKUP(AD25,Formula!V:X,3,0))*VLOOKUP(AD25,Formula!V:X,2,0))*H25)/SUMIF(AD:AD,AD25,H:H)))</f>
        <v>6.9999305217814207</v>
      </c>
      <c r="L25" s="31">
        <f t="shared" si="0"/>
        <v>0.13999861043562842</v>
      </c>
      <c r="M25" s="31">
        <f t="shared" si="1"/>
        <v>0.13999861043562842</v>
      </c>
      <c r="N25" s="31">
        <f t="shared" si="2"/>
        <v>0</v>
      </c>
      <c r="O25" s="31">
        <f t="shared" si="3"/>
        <v>1</v>
      </c>
      <c r="P25" s="32">
        <f t="shared" si="4"/>
        <v>1</v>
      </c>
      <c r="AC25" s="35" t="str">
        <f>IF(B25="","",VLOOKUP(B25,Formula!B:C,2,0))</f>
        <v>Release_1</v>
      </c>
      <c r="AD25" s="36" t="str">
        <f t="shared" si="5"/>
        <v>JFM19_Jan_Sprint_Test case creation</v>
      </c>
    </row>
    <row r="26" spans="1:30" x14ac:dyDescent="0.25">
      <c r="A26" s="56">
        <v>11</v>
      </c>
      <c r="B26" s="56" t="s">
        <v>261</v>
      </c>
      <c r="C26" s="57">
        <v>43466</v>
      </c>
      <c r="D26" s="58" t="s">
        <v>318</v>
      </c>
      <c r="E26" s="56" t="s">
        <v>140</v>
      </c>
      <c r="F26" s="56" t="s">
        <v>245</v>
      </c>
      <c r="G26" s="30">
        <f>IF(E26="","",IF(OR(E26="Project Management",E26="Project Support",E26="Sprint Management",E26="Sprint Support"),"NA",ROUND((((VLOOKUP(AD26,Formula!V:X,3,0)))-SUMIF(AD:AD,AD26,H:H)),2)))</f>
        <v>75.709999999999994</v>
      </c>
      <c r="H26" s="63">
        <v>60</v>
      </c>
      <c r="I26" s="63">
        <v>100</v>
      </c>
      <c r="J26" s="63" t="s">
        <v>203</v>
      </c>
      <c r="K26" s="31">
        <f>IF(E26="","",IF(OR(E26="Project Management",E26="Project Support",E26="Sprint Management",E26="Sprint Support"),"NA",(((SUMIF(AD:AD,AD26,H:H)/VLOOKUP(AD26,Formula!V:X,3,0))*VLOOKUP(AD26,Formula!V:X,2,0))*H26)/SUMIF(AD:AD,AD26,H:H)))</f>
        <v>8.400062531482865</v>
      </c>
      <c r="L26" s="31">
        <f t="shared" ref="L26" si="30">IFERROR(IF(K26="NA",(H26/I26),(K26/I26)),"")</f>
        <v>8.4000625314828645E-2</v>
      </c>
      <c r="M26" s="31">
        <f t="shared" ref="M26" si="31">IFERROR(IF(K26="NA",1,(K26/H26)),"")</f>
        <v>0.14000104219138107</v>
      </c>
      <c r="N26" s="31">
        <f t="shared" ref="N26" si="32">IFERROR(((L26-M26)/M26)*100,"")</f>
        <v>-40</v>
      </c>
      <c r="O26" s="31">
        <f t="shared" ref="O26" si="33">IFERROR(L26/M26,"")</f>
        <v>0.6</v>
      </c>
      <c r="P26" s="32">
        <f t="shared" ref="P26" si="34">IF(O26="","",1)</f>
        <v>1</v>
      </c>
      <c r="AC26" s="35" t="str">
        <f>IF(B26="","",VLOOKUP(B26,Formula!B:C,2,0))</f>
        <v>Release_1</v>
      </c>
      <c r="AD26" s="36" t="str">
        <f t="shared" ref="AD26" si="35">IF(B26="","",CONCATENATE(B26,"_",E26))</f>
        <v>JFM19_Jan_Sprint_Manual testing</v>
      </c>
    </row>
    <row r="27" spans="1:30" x14ac:dyDescent="0.25">
      <c r="A27" s="56">
        <v>11</v>
      </c>
      <c r="B27" s="56" t="s">
        <v>261</v>
      </c>
      <c r="C27" s="57">
        <v>43466</v>
      </c>
      <c r="D27" s="58" t="s">
        <v>397</v>
      </c>
      <c r="E27" s="56" t="s">
        <v>140</v>
      </c>
      <c r="F27" s="56" t="s">
        <v>250</v>
      </c>
      <c r="G27" s="30">
        <f>IF(E27="","",IF(OR(E27="Project Management",E27="Project Support",E27="Sprint Management",E27="Sprint Support"),"NA",ROUND((((VLOOKUP(AD27,Formula!V:X,3,0)))-SUMIF(AD:AD,AD27,H:H)),2)))</f>
        <v>75.709999999999994</v>
      </c>
      <c r="H27" s="63">
        <v>100</v>
      </c>
      <c r="I27" s="63">
        <v>100</v>
      </c>
      <c r="J27" s="63" t="s">
        <v>203</v>
      </c>
      <c r="K27" s="31">
        <f>IF(E27="","",IF(OR(E27="Project Management",E27="Project Support",E27="Sprint Management",E27="Sprint Support"),"NA",(((SUMIF(AD:AD,AD27,H:H)/VLOOKUP(AD27,Formula!V:X,3,0))*VLOOKUP(AD27,Formula!V:X,2,0))*H27)/SUMIF(AD:AD,AD27,H:H)))</f>
        <v>14.000104219138109</v>
      </c>
      <c r="L27" s="31">
        <f t="shared" si="0"/>
        <v>0.1400010421913811</v>
      </c>
      <c r="M27" s="31">
        <f t="shared" si="1"/>
        <v>0.1400010421913811</v>
      </c>
      <c r="N27" s="31">
        <f t="shared" si="2"/>
        <v>0</v>
      </c>
      <c r="O27" s="31">
        <f t="shared" si="3"/>
        <v>1</v>
      </c>
      <c r="P27" s="32">
        <f t="shared" si="4"/>
        <v>1</v>
      </c>
      <c r="AC27" s="35" t="str">
        <f>IF(B27="","",VLOOKUP(B27,Formula!B:C,2,0))</f>
        <v>Release_1</v>
      </c>
      <c r="AD27" s="36" t="str">
        <f t="shared" si="5"/>
        <v>JFM19_Jan_Sprint_Manual testing</v>
      </c>
    </row>
    <row r="28" spans="1:30" x14ac:dyDescent="0.25">
      <c r="A28" s="56">
        <v>36</v>
      </c>
      <c r="B28" s="56" t="s">
        <v>261</v>
      </c>
      <c r="C28" s="57">
        <v>43466</v>
      </c>
      <c r="D28" s="58" t="s">
        <v>318</v>
      </c>
      <c r="E28" s="56" t="s">
        <v>140</v>
      </c>
      <c r="F28" s="56" t="s">
        <v>315</v>
      </c>
      <c r="G28" s="30" t="e">
        <f>IF(E28="","",IF(OR(E28="Project Management",E28="Project Support",E28="Sprint Management",E28="Sprint Support"),"NA",ROUND((((VLOOKUP(AD28,Formula!V:X,3,0)))-SUMIF(AD:AD,AD28,H:H)),2)))</f>
        <v>#REF!</v>
      </c>
      <c r="H28" s="63">
        <v>60</v>
      </c>
      <c r="I28" s="63">
        <v>120</v>
      </c>
      <c r="J28" s="63" t="s">
        <v>203</v>
      </c>
      <c r="K28" s="31" t="e">
        <f>IF(E28="","",IF(OR(E28="Project Management",E28="Project Support",E28="Sprint Management",E28="Sprint Support"),"NA",(((SUMIF(AD:AD,AD28,H:H)/VLOOKUP(AD28,Formula!V:X,3,0))*VLOOKUP(AD28,Formula!V:X,2,0))*H28)/SUMIF(AD:AD,AD28,H:H)))</f>
        <v>#REF!</v>
      </c>
      <c r="L28" s="31" t="str">
        <f t="shared" si="0"/>
        <v/>
      </c>
      <c r="M28" s="31" t="str">
        <f t="shared" si="1"/>
        <v/>
      </c>
      <c r="N28" s="31" t="str">
        <f t="shared" si="2"/>
        <v/>
      </c>
      <c r="O28" s="31" t="str">
        <f t="shared" si="3"/>
        <v/>
      </c>
      <c r="P28" s="32" t="str">
        <f t="shared" si="4"/>
        <v/>
      </c>
      <c r="AC28" s="35" t="str">
        <f>IF(B28="","",VLOOKUP(B28,Formula!B:C,2,0))</f>
        <v>Release_1</v>
      </c>
      <c r="AD28" s="36" t="e">
        <f>IF(B28="","",CONCATENATE(B28,"_",#REF!))</f>
        <v>#REF!</v>
      </c>
    </row>
    <row r="29" spans="1:30" x14ac:dyDescent="0.25">
      <c r="A29" s="56">
        <v>38</v>
      </c>
      <c r="B29" s="56" t="s">
        <v>261</v>
      </c>
      <c r="C29" s="57">
        <v>43466</v>
      </c>
      <c r="D29" s="58" t="s">
        <v>318</v>
      </c>
      <c r="E29" s="56" t="s">
        <v>140</v>
      </c>
      <c r="F29" s="56" t="s">
        <v>242</v>
      </c>
      <c r="G29" s="30">
        <f>IF(E29="","",IF(OR(E29="Project Management",E29="Project Support",E29="Sprint Management",E29="Sprint Support"),"NA",ROUND((((VLOOKUP(AD29,Formula!V:X,3,0)))-SUMIF(AD:AD,AD29,H:H)),2)))</f>
        <v>75.709999999999994</v>
      </c>
      <c r="H29" s="63">
        <v>110</v>
      </c>
      <c r="I29" s="63">
        <v>110</v>
      </c>
      <c r="J29" s="63" t="s">
        <v>203</v>
      </c>
      <c r="K29" s="31">
        <f>IF(E29="","",IF(OR(E29="Project Management",E29="Project Support",E29="Sprint Management",E29="Sprint Support"),"NA",(((SUMIF(AD:AD,AD29,H:H)/VLOOKUP(AD29,Formula!V:X,3,0))*VLOOKUP(AD29,Formula!V:X,2,0))*H29)/SUMIF(AD:AD,AD29,H:H)))</f>
        <v>15.400114641051919</v>
      </c>
      <c r="L29" s="31">
        <f t="shared" si="0"/>
        <v>0.1400010421913811</v>
      </c>
      <c r="M29" s="31">
        <f t="shared" si="1"/>
        <v>0.1400010421913811</v>
      </c>
      <c r="N29" s="31">
        <f t="shared" si="2"/>
        <v>0</v>
      </c>
      <c r="O29" s="31">
        <f t="shared" si="3"/>
        <v>1</v>
      </c>
      <c r="P29" s="32">
        <f t="shared" si="4"/>
        <v>1</v>
      </c>
      <c r="AC29" s="35" t="str">
        <f>IF(B29="","",VLOOKUP(B29,Formula!B:C,2,0))</f>
        <v>Release_1</v>
      </c>
      <c r="AD29" s="36" t="str">
        <f t="shared" si="5"/>
        <v>JFM19_Jan_Sprint_Manual testing</v>
      </c>
    </row>
    <row r="30" spans="1:30" x14ac:dyDescent="0.25">
      <c r="A30" s="56">
        <v>1</v>
      </c>
      <c r="B30" s="56" t="s">
        <v>261</v>
      </c>
      <c r="C30" s="57">
        <v>43466</v>
      </c>
      <c r="D30" s="59" t="s">
        <v>319</v>
      </c>
      <c r="E30" s="56" t="s">
        <v>235</v>
      </c>
      <c r="F30" s="56" t="s">
        <v>254</v>
      </c>
      <c r="G30" s="30">
        <f>IF(E30="","",IF(OR(E30="Project Management",E30="Project Support",E30="Sprint Management",E30="Sprint Support"),"NA",ROUND((((VLOOKUP(AD30,Formula!V:X,3,0)))-SUMIF(AD:AD,AD30,H:H)),2)))</f>
        <v>5.71</v>
      </c>
      <c r="H30" s="63">
        <v>110</v>
      </c>
      <c r="I30" s="63">
        <v>110</v>
      </c>
      <c r="J30" s="63" t="s">
        <v>203</v>
      </c>
      <c r="K30" s="31">
        <f>IF(E30="","",IF(OR(E30="Project Management",E30="Project Support",E30="Sprint Management",E30="Sprint Support"),"NA",(((SUMIF(AD:AD,AD30,H:H)/VLOOKUP(AD30,Formula!V:X,3,0))*VLOOKUP(AD30,Formula!V:X,2,0))*H30)/SUMIF(AD:AD,AD30,H:H)))</f>
        <v>15.400114641051921</v>
      </c>
      <c r="L30" s="31">
        <f t="shared" si="0"/>
        <v>0.1400010421913811</v>
      </c>
      <c r="M30" s="31">
        <f t="shared" si="1"/>
        <v>0.1400010421913811</v>
      </c>
      <c r="N30" s="31">
        <f t="shared" si="2"/>
        <v>0</v>
      </c>
      <c r="O30" s="31">
        <f t="shared" si="3"/>
        <v>1</v>
      </c>
      <c r="P30" s="32">
        <f t="shared" si="4"/>
        <v>1</v>
      </c>
      <c r="AC30" s="35" t="str">
        <f>IF(B30="","",VLOOKUP(B30,Formula!B:C,2,0))</f>
        <v>Release_1</v>
      </c>
      <c r="AD30" s="36" t="str">
        <f t="shared" si="5"/>
        <v>JFM19_Jan_Sprint_Sprint Support Activities</v>
      </c>
    </row>
    <row r="31" spans="1:30" x14ac:dyDescent="0.25">
      <c r="A31" s="56">
        <v>12</v>
      </c>
      <c r="B31" s="56" t="s">
        <v>261</v>
      </c>
      <c r="C31" s="57">
        <v>43466</v>
      </c>
      <c r="D31" s="59" t="s">
        <v>320</v>
      </c>
      <c r="E31" s="56" t="s">
        <v>235</v>
      </c>
      <c r="F31" s="56" t="s">
        <v>240</v>
      </c>
      <c r="G31" s="30">
        <f>IF(E31="","",IF(OR(E31="Project Management",E31="Project Support",E31="Sprint Management",E31="Sprint Support"),"NA",ROUND((((VLOOKUP(AD31,Formula!V:X,3,0)))-SUMIF(AD:AD,AD31,H:H)),2)))</f>
        <v>5.71</v>
      </c>
      <c r="H31" s="63">
        <v>70</v>
      </c>
      <c r="I31" s="63">
        <v>70</v>
      </c>
      <c r="J31" s="63" t="s">
        <v>203</v>
      </c>
      <c r="K31" s="31">
        <f>IF(E31="","",IF(OR(E31="Project Management",E31="Project Support",E31="Sprint Management",E31="Sprint Support"),"NA",(((SUMIF(AD:AD,AD31,H:H)/VLOOKUP(AD31,Formula!V:X,3,0))*VLOOKUP(AD31,Formula!V:X,2,0))*H31)/SUMIF(AD:AD,AD31,H:H)))</f>
        <v>9.8000729533966773</v>
      </c>
      <c r="L31" s="31">
        <f t="shared" si="0"/>
        <v>0.1400010421913811</v>
      </c>
      <c r="M31" s="31">
        <f t="shared" si="1"/>
        <v>0.1400010421913811</v>
      </c>
      <c r="N31" s="31">
        <f t="shared" si="2"/>
        <v>0</v>
      </c>
      <c r="O31" s="31">
        <f t="shared" si="3"/>
        <v>1</v>
      </c>
      <c r="P31" s="32">
        <f t="shared" si="4"/>
        <v>1</v>
      </c>
      <c r="AC31" s="35" t="str">
        <f>IF(B31="","",VLOOKUP(B31,Formula!B:C,2,0))</f>
        <v>Release_1</v>
      </c>
      <c r="AD31" s="36" t="str">
        <f t="shared" si="5"/>
        <v>JFM19_Jan_Sprint_Sprint Support Activities</v>
      </c>
    </row>
    <row r="32" spans="1:30" x14ac:dyDescent="0.25">
      <c r="A32" s="56">
        <v>19</v>
      </c>
      <c r="B32" s="56" t="s">
        <v>261</v>
      </c>
      <c r="C32" s="57">
        <v>43466</v>
      </c>
      <c r="D32" s="58" t="s">
        <v>202</v>
      </c>
      <c r="E32" s="56" t="s">
        <v>145</v>
      </c>
      <c r="F32" s="56" t="s">
        <v>241</v>
      </c>
      <c r="G32" s="30">
        <f>IF(E32="","",IF(OR(E32="Project Management",E32="Project Support",E32="Sprint Management",E32="Sprint Support"),"NA",ROUND((((VLOOKUP(AD32,Formula!V:X,3,0)))-SUMIF(AD:AD,AD32,H:H)),2)))</f>
        <v>-1.43</v>
      </c>
      <c r="H32" s="63">
        <v>40</v>
      </c>
      <c r="I32" s="63">
        <v>40</v>
      </c>
      <c r="J32" s="63" t="s">
        <v>203</v>
      </c>
      <c r="K32" s="31">
        <f>IF(E32="","",IF(OR(E32="Project Management",E32="Project Support",E32="Sprint Management",E32="Sprint Support"),"NA",(((SUMIF(AD:AD,AD32,H:H)/VLOOKUP(AD32,Formula!V:X,3,0))*VLOOKUP(AD32,Formula!V:X,2,0))*H32)/SUMIF(AD:AD,AD32,H:H)))</f>
        <v>5.6000092638697492</v>
      </c>
      <c r="L32" s="31">
        <f t="shared" si="0"/>
        <v>0.14000023159674374</v>
      </c>
      <c r="M32" s="31">
        <f t="shared" si="1"/>
        <v>0.14000023159674374</v>
      </c>
      <c r="N32" s="31">
        <f t="shared" si="2"/>
        <v>0</v>
      </c>
      <c r="O32" s="31">
        <f t="shared" si="3"/>
        <v>1</v>
      </c>
      <c r="P32" s="32">
        <f t="shared" si="4"/>
        <v>1</v>
      </c>
      <c r="AC32" s="35" t="str">
        <f>IF(B32="","",VLOOKUP(B32,Formula!B:C,2,0))</f>
        <v>Release_1</v>
      </c>
      <c r="AD32" s="36" t="str">
        <f t="shared" si="5"/>
        <v>JFM19_Jan_Sprint_Others (such as -Analysis, Design, CI)</v>
      </c>
    </row>
    <row r="33" spans="1:30" x14ac:dyDescent="0.25">
      <c r="A33" s="56">
        <v>1</v>
      </c>
      <c r="B33" s="56" t="s">
        <v>261</v>
      </c>
      <c r="C33" s="57">
        <v>43466</v>
      </c>
      <c r="D33" s="59" t="s">
        <v>319</v>
      </c>
      <c r="E33" s="56" t="s">
        <v>235</v>
      </c>
      <c r="F33" s="56" t="s">
        <v>247</v>
      </c>
      <c r="G33" s="30">
        <f>IF(E33="","",IF(OR(E33="Project Management",E33="Project Support",E33="Sprint Management",E33="Sprint Support"),"NA",ROUND((((VLOOKUP(AD33,Formula!V:X,3,0)))-SUMIF(AD:AD,AD33,H:H)),2)))</f>
        <v>5.71</v>
      </c>
      <c r="H33" s="63">
        <v>70</v>
      </c>
      <c r="I33" s="63">
        <v>110</v>
      </c>
      <c r="J33" s="63" t="s">
        <v>203</v>
      </c>
      <c r="K33" s="31">
        <f>IF(E33="","",IF(OR(E33="Project Management",E33="Project Support",E33="Sprint Management",E33="Sprint Support"),"NA",(((SUMIF(AD:AD,AD33,H:H)/VLOOKUP(AD33,Formula!V:X,3,0))*VLOOKUP(AD33,Formula!V:X,2,0))*H33)/SUMIF(AD:AD,AD33,H:H)))</f>
        <v>9.8000729533966773</v>
      </c>
      <c r="L33" s="31">
        <f t="shared" si="0"/>
        <v>8.9091572303606162E-2</v>
      </c>
      <c r="M33" s="31">
        <f t="shared" si="1"/>
        <v>0.1400010421913811</v>
      </c>
      <c r="N33" s="31">
        <f t="shared" si="2"/>
        <v>-36.36363636363636</v>
      </c>
      <c r="O33" s="31">
        <f t="shared" si="3"/>
        <v>0.63636363636363646</v>
      </c>
      <c r="P33" s="32">
        <f t="shared" si="4"/>
        <v>1</v>
      </c>
      <c r="AC33" s="35" t="str">
        <f>IF(B33="","",VLOOKUP(B33,Formula!B:C,2,0))</f>
        <v>Release_1</v>
      </c>
      <c r="AD33" s="36" t="str">
        <f t="shared" si="5"/>
        <v>JFM19_Jan_Sprint_Sprint Support Activities</v>
      </c>
    </row>
    <row r="34" spans="1:30" x14ac:dyDescent="0.25">
      <c r="A34" s="56">
        <v>1</v>
      </c>
      <c r="B34" s="56" t="s">
        <v>261</v>
      </c>
      <c r="C34" s="57">
        <v>43466</v>
      </c>
      <c r="D34" s="59" t="s">
        <v>396</v>
      </c>
      <c r="E34" s="56" t="s">
        <v>140</v>
      </c>
      <c r="F34" s="56" t="s">
        <v>247</v>
      </c>
      <c r="G34" s="30">
        <f>IF(E34="","",IF(OR(E34="Project Management",E34="Project Support",E34="Sprint Management",E34="Sprint Support"),"NA",ROUND((((VLOOKUP(AD34,Formula!V:X,3,0)))-SUMIF(AD:AD,AD34,H:H)),2)))</f>
        <v>75.709999999999994</v>
      </c>
      <c r="H34" s="63">
        <v>110</v>
      </c>
      <c r="I34" s="63">
        <v>110</v>
      </c>
      <c r="J34" s="63" t="s">
        <v>203</v>
      </c>
      <c r="K34" s="31">
        <f>IF(E34="","",IF(OR(E34="Project Management",E34="Project Support",E34="Sprint Management",E34="Sprint Support"),"NA",(((SUMIF(AD:AD,AD34,H:H)/VLOOKUP(AD34,Formula!V:X,3,0))*VLOOKUP(AD34,Formula!V:X,2,0))*H34)/SUMIF(AD:AD,AD34,H:H)))</f>
        <v>15.400114641051919</v>
      </c>
      <c r="L34" s="31">
        <f t="shared" ref="L34:L39" si="36">IFERROR(IF(K34="NA",(H34/I34),(K34/I34)),"")</f>
        <v>0.1400010421913811</v>
      </c>
      <c r="M34" s="31">
        <f t="shared" ref="M34:M39" si="37">IFERROR(IF(K34="NA",1,(K34/H34)),"")</f>
        <v>0.1400010421913811</v>
      </c>
      <c r="N34" s="31">
        <f t="shared" ref="N34:N39" si="38">IFERROR(((L34-M34)/M34)*100,"")</f>
        <v>0</v>
      </c>
      <c r="O34" s="31">
        <f t="shared" ref="O34:O39" si="39">IFERROR(L34/M34,"")</f>
        <v>1</v>
      </c>
      <c r="P34" s="32">
        <f t="shared" ref="P34:P39" si="40">IF(O34="","",1)</f>
        <v>1</v>
      </c>
      <c r="AC34" s="35" t="str">
        <f>IF(B34="","",VLOOKUP(B34,Formula!B:C,2,0))</f>
        <v>Release_1</v>
      </c>
      <c r="AD34" s="36" t="str">
        <f t="shared" ref="AD34:AD39" si="41">IF(B34="","",CONCATENATE(B34,"_",E34))</f>
        <v>JFM19_Jan_Sprint_Manual testing</v>
      </c>
    </row>
    <row r="35" spans="1:30" x14ac:dyDescent="0.25">
      <c r="A35" s="56">
        <v>19</v>
      </c>
      <c r="B35" s="56" t="s">
        <v>261</v>
      </c>
      <c r="C35" s="57">
        <v>43466</v>
      </c>
      <c r="D35" s="58" t="s">
        <v>202</v>
      </c>
      <c r="E35" s="56" t="s">
        <v>145</v>
      </c>
      <c r="F35" s="56" t="s">
        <v>251</v>
      </c>
      <c r="G35" s="30">
        <f>IF(E35="","",IF(OR(E35="Project Management",E35="Project Support",E35="Sprint Management",E35="Sprint Support"),"NA",ROUND((((VLOOKUP(AD35,Formula!V:X,3,0)))-SUMIF(AD:AD,AD35,H:H)),2)))</f>
        <v>-1.43</v>
      </c>
      <c r="H35" s="63">
        <v>40</v>
      </c>
      <c r="I35" s="63">
        <v>40</v>
      </c>
      <c r="J35" s="63" t="s">
        <v>203</v>
      </c>
      <c r="K35" s="31">
        <f>IF(E35="","",IF(OR(E35="Project Management",E35="Project Support",E35="Sprint Management",E35="Sprint Support"),"NA",(((SUMIF(AD:AD,AD35,H:H)/VLOOKUP(AD35,Formula!V:X,3,0))*VLOOKUP(AD35,Formula!V:X,2,0))*H35)/SUMIF(AD:AD,AD35,H:H)))</f>
        <v>5.6000092638697492</v>
      </c>
      <c r="L35" s="31">
        <f t="shared" si="36"/>
        <v>0.14000023159674374</v>
      </c>
      <c r="M35" s="31">
        <f t="shared" si="37"/>
        <v>0.14000023159674374</v>
      </c>
      <c r="N35" s="31">
        <f t="shared" si="38"/>
        <v>0</v>
      </c>
      <c r="O35" s="31">
        <f t="shared" si="39"/>
        <v>1</v>
      </c>
      <c r="P35" s="32">
        <f t="shared" si="40"/>
        <v>1</v>
      </c>
      <c r="AC35" s="35" t="str">
        <f>IF(B35="","",VLOOKUP(B35,Formula!B:C,2,0))</f>
        <v>Release_1</v>
      </c>
      <c r="AD35" s="36" t="str">
        <f t="shared" si="41"/>
        <v>JFM19_Jan_Sprint_Others (such as -Analysis, Design, CI)</v>
      </c>
    </row>
    <row r="36" spans="1:30" x14ac:dyDescent="0.25">
      <c r="A36" s="56">
        <v>19</v>
      </c>
      <c r="B36" s="56" t="s">
        <v>261</v>
      </c>
      <c r="C36" s="57">
        <v>43466</v>
      </c>
      <c r="D36" s="58" t="s">
        <v>395</v>
      </c>
      <c r="E36" s="56" t="s">
        <v>145</v>
      </c>
      <c r="F36" s="56" t="s">
        <v>254</v>
      </c>
      <c r="G36" s="30">
        <f>IF(E36="","",IF(OR(E36="Project Management",E36="Project Support",E36="Sprint Management",E36="Sprint Support"),"NA",ROUND((((VLOOKUP(AD36,Formula!V:X,3,0)))-SUMIF(AD:AD,AD36,H:H)),2)))</f>
        <v>-1.43</v>
      </c>
      <c r="H36" s="63">
        <v>75</v>
      </c>
      <c r="I36" s="63">
        <v>40</v>
      </c>
      <c r="J36" s="63" t="s">
        <v>203</v>
      </c>
      <c r="K36" s="31">
        <f>IF(E36="","",IF(OR(E36="Project Management",E36="Project Support",E36="Sprint Management",E36="Sprint Support"),"NA",(((SUMIF(AD:AD,AD36,H:H)/VLOOKUP(AD36,Formula!V:X,3,0))*VLOOKUP(AD36,Formula!V:X,2,0))*H36)/SUMIF(AD:AD,AD36,H:H)))</f>
        <v>10.500017369755779</v>
      </c>
      <c r="L36" s="31">
        <f t="shared" ref="L36" si="42">IFERROR(IF(K36="NA",(H36/I36),(K36/I36)),"")</f>
        <v>0.26250043424389446</v>
      </c>
      <c r="M36" s="31">
        <f t="shared" ref="M36" si="43">IFERROR(IF(K36="NA",1,(K36/H36)),"")</f>
        <v>0.14000023159674371</v>
      </c>
      <c r="N36" s="31">
        <f t="shared" ref="N36" si="44">IFERROR(((L36-M36)/M36)*100,"")</f>
        <v>87.5</v>
      </c>
      <c r="O36" s="31">
        <f t="shared" ref="O36" si="45">IFERROR(L36/M36,"")</f>
        <v>1.875</v>
      </c>
      <c r="P36" s="32">
        <f t="shared" ref="P36" si="46">IF(O36="","",1)</f>
        <v>1</v>
      </c>
      <c r="AC36" s="35" t="str">
        <f>IF(B36="","",VLOOKUP(B36,Formula!B:C,2,0))</f>
        <v>Release_1</v>
      </c>
      <c r="AD36" s="36" t="str">
        <f t="shared" ref="AD36" si="47">IF(B36="","",CONCATENATE(B36,"_",E36))</f>
        <v>JFM19_Jan_Sprint_Others (such as -Analysis, Design, CI)</v>
      </c>
    </row>
    <row r="37" spans="1:30" x14ac:dyDescent="0.25">
      <c r="A37" s="56">
        <v>19</v>
      </c>
      <c r="B37" s="56" t="s">
        <v>261</v>
      </c>
      <c r="C37" s="57">
        <v>43466</v>
      </c>
      <c r="D37" s="58" t="s">
        <v>202</v>
      </c>
      <c r="E37" s="56" t="s">
        <v>145</v>
      </c>
      <c r="F37" s="56" t="s">
        <v>241</v>
      </c>
      <c r="G37" s="30">
        <f>IF(E37="","",IF(OR(E37="Project Management",E37="Project Support",E37="Sprint Management",E37="Sprint Support"),"NA",ROUND((((VLOOKUP(AD37,Formula!V:X,3,0)))-SUMIF(AD:AD,AD37,H:H)),2)))</f>
        <v>-1.43</v>
      </c>
      <c r="H37" s="63">
        <v>50</v>
      </c>
      <c r="I37" s="63">
        <v>40</v>
      </c>
      <c r="J37" s="63" t="s">
        <v>203</v>
      </c>
      <c r="K37" s="31">
        <f>IF(E37="","",IF(OR(E37="Project Management",E37="Project Support",E37="Sprint Management",E37="Sprint Support"),"NA",(((SUMIF(AD:AD,AD37,H:H)/VLOOKUP(AD37,Formula!V:X,3,0))*VLOOKUP(AD37,Formula!V:X,2,0))*H37)/SUMIF(AD:AD,AD37,H:H)))</f>
        <v>7.0000115798371869</v>
      </c>
      <c r="L37" s="31">
        <f t="shared" si="36"/>
        <v>0.17500028949592966</v>
      </c>
      <c r="M37" s="31">
        <f t="shared" si="37"/>
        <v>0.14000023159674374</v>
      </c>
      <c r="N37" s="31">
        <f t="shared" si="38"/>
        <v>24.999999999999989</v>
      </c>
      <c r="O37" s="31">
        <f t="shared" si="39"/>
        <v>1.25</v>
      </c>
      <c r="P37" s="32">
        <f t="shared" si="40"/>
        <v>1</v>
      </c>
      <c r="AC37" s="35" t="str">
        <f>IF(B37="","",VLOOKUP(B37,Formula!B:C,2,0))</f>
        <v>Release_1</v>
      </c>
      <c r="AD37" s="36" t="str">
        <f t="shared" si="41"/>
        <v>JFM19_Jan_Sprint_Others (such as -Analysis, Design, CI)</v>
      </c>
    </row>
    <row r="38" spans="1:30" x14ac:dyDescent="0.25">
      <c r="A38" s="56">
        <v>12</v>
      </c>
      <c r="B38" s="56" t="s">
        <v>261</v>
      </c>
      <c r="C38" s="57">
        <v>43466</v>
      </c>
      <c r="D38" s="59" t="s">
        <v>320</v>
      </c>
      <c r="E38" s="56" t="s">
        <v>235</v>
      </c>
      <c r="F38" s="56" t="s">
        <v>273</v>
      </c>
      <c r="G38" s="30">
        <f>IF(E38="","",IF(OR(E38="Project Management",E38="Project Support",E38="Sprint Management",E38="Sprint Support"),"NA",ROUND((((VLOOKUP(AD38,Formula!V:X,3,0)))-SUMIF(AD:AD,AD38,H:H)),2)))</f>
        <v>5.71</v>
      </c>
      <c r="H38" s="63">
        <v>70</v>
      </c>
      <c r="I38" s="63">
        <v>70</v>
      </c>
      <c r="J38" s="63" t="s">
        <v>203</v>
      </c>
      <c r="K38" s="31">
        <f>IF(E38="","",IF(OR(E38="Project Management",E38="Project Support",E38="Sprint Management",E38="Sprint Support"),"NA",(((SUMIF(AD:AD,AD38,H:H)/VLOOKUP(AD38,Formula!V:X,3,0))*VLOOKUP(AD38,Formula!V:X,2,0))*H38)/SUMIF(AD:AD,AD38,H:H)))</f>
        <v>9.8000729533966773</v>
      </c>
      <c r="L38" s="31">
        <f t="shared" si="36"/>
        <v>0.1400010421913811</v>
      </c>
      <c r="M38" s="31">
        <f t="shared" si="37"/>
        <v>0.1400010421913811</v>
      </c>
      <c r="N38" s="31">
        <f t="shared" si="38"/>
        <v>0</v>
      </c>
      <c r="O38" s="31">
        <f t="shared" si="39"/>
        <v>1</v>
      </c>
      <c r="P38" s="32">
        <f t="shared" si="40"/>
        <v>1</v>
      </c>
      <c r="AC38" s="35" t="str">
        <f>IF(B38="","",VLOOKUP(B38,Formula!B:C,2,0))</f>
        <v>Release_1</v>
      </c>
      <c r="AD38" s="36" t="str">
        <f t="shared" si="41"/>
        <v>JFM19_Jan_Sprint_Sprint Support Activities</v>
      </c>
    </row>
    <row r="39" spans="1:30" x14ac:dyDescent="0.25">
      <c r="A39" s="56">
        <v>19</v>
      </c>
      <c r="B39" s="56" t="s">
        <v>261</v>
      </c>
      <c r="C39" s="57">
        <v>43466</v>
      </c>
      <c r="D39" s="58" t="s">
        <v>202</v>
      </c>
      <c r="E39" s="56" t="s">
        <v>145</v>
      </c>
      <c r="F39" s="56" t="s">
        <v>247</v>
      </c>
      <c r="G39" s="30">
        <f>IF(E39="","",IF(OR(E39="Project Management",E39="Project Support",E39="Sprint Management",E39="Sprint Support"),"NA",ROUND((((VLOOKUP(AD39,Formula!V:X,3,0)))-SUMIF(AD:AD,AD39,H:H)),2)))</f>
        <v>-1.43</v>
      </c>
      <c r="H39" s="63">
        <v>40</v>
      </c>
      <c r="I39" s="63">
        <v>40</v>
      </c>
      <c r="J39" s="63" t="s">
        <v>203</v>
      </c>
      <c r="K39" s="31">
        <f>IF(E39="","",IF(OR(E39="Project Management",E39="Project Support",E39="Sprint Management",E39="Sprint Support"),"NA",(((SUMIF(AD:AD,AD39,H:H)/VLOOKUP(AD39,Formula!V:X,3,0))*VLOOKUP(AD39,Formula!V:X,2,0))*H39)/SUMIF(AD:AD,AD39,H:H)))</f>
        <v>5.6000092638697492</v>
      </c>
      <c r="L39" s="31">
        <f t="shared" si="36"/>
        <v>0.14000023159674374</v>
      </c>
      <c r="M39" s="31">
        <f t="shared" si="37"/>
        <v>0.14000023159674374</v>
      </c>
      <c r="N39" s="31">
        <f t="shared" si="38"/>
        <v>0</v>
      </c>
      <c r="O39" s="31">
        <f t="shared" si="39"/>
        <v>1</v>
      </c>
      <c r="P39" s="32">
        <f t="shared" si="40"/>
        <v>1</v>
      </c>
      <c r="AC39" s="35" t="str">
        <f>IF(B39="","",VLOOKUP(B39,Formula!B:C,2,0))</f>
        <v>Release_1</v>
      </c>
      <c r="AD39" s="36" t="str">
        <f t="shared" si="41"/>
        <v>JFM19_Jan_Sprint_Others (such as -Analysis, Design, CI)</v>
      </c>
    </row>
    <row r="40" spans="1:30" x14ac:dyDescent="0.25">
      <c r="A40" s="56">
        <v>28</v>
      </c>
      <c r="B40" s="56" t="s">
        <v>261</v>
      </c>
      <c r="C40" s="57">
        <v>43466</v>
      </c>
      <c r="D40" s="59" t="s">
        <v>234</v>
      </c>
      <c r="E40" s="56" t="s">
        <v>138</v>
      </c>
      <c r="F40" s="56" t="s">
        <v>240</v>
      </c>
      <c r="G40" s="30">
        <f>IF(E40="","",IF(OR(E40="Project Management",E40="Project Support",E40="Sprint Management",E40="Sprint Support"),"NA",ROUND((((VLOOKUP(AD40,Formula!V:X,3,0)))-SUMIF(AD:AD,AD40,H:H)),2)))</f>
        <v>2.86</v>
      </c>
      <c r="H40" s="63">
        <v>120</v>
      </c>
      <c r="I40" s="63">
        <v>120</v>
      </c>
      <c r="J40" s="63" t="s">
        <v>203</v>
      </c>
      <c r="K40" s="31">
        <f>IF(E40="","",IF(OR(E40="Project Management",E40="Project Support",E40="Sprint Management",E40="Sprint Support"),"NA",(((SUMIF(AD:AD,AD40,H:H)/VLOOKUP(AD40,Formula!V:X,3,0))*VLOOKUP(AD40,Formula!V:X,2,0))*H40)/SUMIF(AD:AD,AD40,H:H)))</f>
        <v>16.799979156353405</v>
      </c>
      <c r="L40" s="31">
        <f t="shared" si="0"/>
        <v>0.13999982630294505</v>
      </c>
      <c r="M40" s="31">
        <f t="shared" si="1"/>
        <v>0.13999982630294505</v>
      </c>
      <c r="N40" s="31">
        <f t="shared" si="2"/>
        <v>0</v>
      </c>
      <c r="O40" s="31">
        <f t="shared" si="3"/>
        <v>1</v>
      </c>
      <c r="P40" s="32">
        <f t="shared" si="4"/>
        <v>1</v>
      </c>
      <c r="AC40" s="35" t="str">
        <f>IF(B40="","",VLOOKUP(B40,Formula!B:C,2,0))</f>
        <v>Release_1</v>
      </c>
      <c r="AD40" s="36" t="str">
        <f t="shared" si="5"/>
        <v>JFM19_Jan_Sprint_Code development</v>
      </c>
    </row>
    <row r="41" spans="1:30" x14ac:dyDescent="0.25">
      <c r="A41" s="56">
        <v>42</v>
      </c>
      <c r="B41" s="56" t="s">
        <v>261</v>
      </c>
      <c r="C41" s="57">
        <v>43466</v>
      </c>
      <c r="D41" s="58" t="s">
        <v>202</v>
      </c>
      <c r="E41" s="56" t="s">
        <v>138</v>
      </c>
      <c r="F41" s="56" t="s">
        <v>243</v>
      </c>
      <c r="G41" s="30">
        <f>IF(E41="","",IF(OR(E41="Project Management",E41="Project Support",E41="Sprint Management",E41="Sprint Support"),"NA",ROUND((((VLOOKUP(AD41,Formula!V:X,3,0)))-SUMIF(AD:AD,AD41,H:H)),2)))</f>
        <v>2.86</v>
      </c>
      <c r="H41" s="63">
        <v>55</v>
      </c>
      <c r="I41" s="63">
        <v>55</v>
      </c>
      <c r="J41" s="63" t="s">
        <v>203</v>
      </c>
      <c r="K41" s="31">
        <f>IF(E41="","",IF(OR(E41="Project Management",E41="Project Support",E41="Sprint Management",E41="Sprint Support"),"NA",(((SUMIF(AD:AD,AD41,H:H)/VLOOKUP(AD41,Formula!V:X,3,0))*VLOOKUP(AD41,Formula!V:X,2,0))*H41)/SUMIF(AD:AD,AD41,H:H)))</f>
        <v>7.6999904466619773</v>
      </c>
      <c r="L41" s="31">
        <f t="shared" si="0"/>
        <v>0.13999982630294505</v>
      </c>
      <c r="M41" s="31">
        <f t="shared" si="1"/>
        <v>0.13999982630294505</v>
      </c>
      <c r="N41" s="31">
        <f t="shared" si="2"/>
        <v>0</v>
      </c>
      <c r="O41" s="31">
        <f t="shared" si="3"/>
        <v>1</v>
      </c>
      <c r="P41" s="32">
        <f t="shared" si="4"/>
        <v>1</v>
      </c>
      <c r="AC41" s="35" t="str">
        <f>IF(B41="","",VLOOKUP(B41,Formula!B:C,2,0))</f>
        <v>Release_1</v>
      </c>
      <c r="AD41" s="36" t="str">
        <f t="shared" si="5"/>
        <v>JFM19_Jan_Sprint_Code development</v>
      </c>
    </row>
    <row r="42" spans="1:30" x14ac:dyDescent="0.25">
      <c r="A42" s="56">
        <v>4</v>
      </c>
      <c r="B42" s="56" t="s">
        <v>261</v>
      </c>
      <c r="C42" s="57">
        <v>43466</v>
      </c>
      <c r="D42" s="59" t="s">
        <v>206</v>
      </c>
      <c r="E42" s="56" t="s">
        <v>138</v>
      </c>
      <c r="F42" s="56" t="s">
        <v>241</v>
      </c>
      <c r="G42" s="30">
        <f>IF(E42="","",IF(OR(E42="Project Management",E42="Project Support",E42="Sprint Management",E42="Sprint Support"),"NA",ROUND((((VLOOKUP(AD42,Formula!V:X,3,0)))-SUMIF(AD:AD,AD42,H:H)),2)))</f>
        <v>2.86</v>
      </c>
      <c r="H42" s="63">
        <v>90</v>
      </c>
      <c r="I42" s="63">
        <v>90</v>
      </c>
      <c r="J42" s="63" t="s">
        <v>203</v>
      </c>
      <c r="K42" s="31">
        <f>IF(E42="","",IF(OR(E42="Project Management",E42="Project Support",E42="Sprint Management",E42="Sprint Support"),"NA",(((SUMIF(AD:AD,AD42,H:H)/VLOOKUP(AD42,Formula!V:X,3,0))*VLOOKUP(AD42,Formula!V:X,2,0))*H42)/SUMIF(AD:AD,AD42,H:H)))</f>
        <v>12.599984367265055</v>
      </c>
      <c r="L42" s="31">
        <f t="shared" si="0"/>
        <v>0.13999982630294505</v>
      </c>
      <c r="M42" s="31">
        <f t="shared" si="1"/>
        <v>0.13999982630294505</v>
      </c>
      <c r="N42" s="31">
        <f t="shared" si="2"/>
        <v>0</v>
      </c>
      <c r="O42" s="31">
        <f t="shared" si="3"/>
        <v>1</v>
      </c>
      <c r="P42" s="32">
        <f t="shared" si="4"/>
        <v>1</v>
      </c>
      <c r="AC42" s="35" t="str">
        <f>IF(B42="","",VLOOKUP(B42,Formula!B:C,2,0))</f>
        <v>Release_1</v>
      </c>
      <c r="AD42" s="36" t="str">
        <f t="shared" si="5"/>
        <v>JFM19_Jan_Sprint_Code development</v>
      </c>
    </row>
    <row r="43" spans="1:30" x14ac:dyDescent="0.25">
      <c r="A43" s="56">
        <v>15</v>
      </c>
      <c r="B43" s="56" t="s">
        <v>261</v>
      </c>
      <c r="C43" s="57">
        <v>43466</v>
      </c>
      <c r="D43" s="59" t="s">
        <v>389</v>
      </c>
      <c r="E43" s="56" t="s">
        <v>138</v>
      </c>
      <c r="F43" s="56" t="s">
        <v>243</v>
      </c>
      <c r="G43" s="30">
        <f>IF(E43="","",IF(OR(E43="Project Management",E43="Project Support",E43="Sprint Management",E43="Sprint Support"),"NA",ROUND((((VLOOKUP(AD43,Formula!V:X,3,0)))-SUMIF(AD:AD,AD43,H:H)),2)))</f>
        <v>2.86</v>
      </c>
      <c r="H43" s="63">
        <v>110</v>
      </c>
      <c r="I43" s="63">
        <v>110</v>
      </c>
      <c r="J43" s="63" t="s">
        <v>203</v>
      </c>
      <c r="K43" s="31">
        <f>IF(E43="","",IF(OR(E43="Project Management",E43="Project Support",E43="Sprint Management",E43="Sprint Support"),"NA",(((SUMIF(AD:AD,AD43,H:H)/VLOOKUP(AD43,Formula!V:X,3,0))*VLOOKUP(AD43,Formula!V:X,2,0))*H43)/SUMIF(AD:AD,AD43,H:H)))</f>
        <v>15.399980893323955</v>
      </c>
      <c r="L43" s="31">
        <f t="shared" si="0"/>
        <v>0.13999982630294505</v>
      </c>
      <c r="M43" s="31">
        <f t="shared" si="1"/>
        <v>0.13999982630294505</v>
      </c>
      <c r="N43" s="31">
        <f t="shared" si="2"/>
        <v>0</v>
      </c>
      <c r="O43" s="31">
        <f t="shared" si="3"/>
        <v>1</v>
      </c>
      <c r="P43" s="32">
        <f t="shared" si="4"/>
        <v>1</v>
      </c>
      <c r="AC43" s="35" t="str">
        <f>IF(B43="","",VLOOKUP(B43,Formula!B:C,2,0))</f>
        <v>Release_1</v>
      </c>
      <c r="AD43" s="36" t="str">
        <f t="shared" si="5"/>
        <v>JFM19_Jan_Sprint_Code development</v>
      </c>
    </row>
    <row r="44" spans="1:30" x14ac:dyDescent="0.25">
      <c r="A44" s="56">
        <v>15</v>
      </c>
      <c r="B44" s="56" t="s">
        <v>261</v>
      </c>
      <c r="C44" s="57">
        <v>43466</v>
      </c>
      <c r="D44" s="59" t="s">
        <v>389</v>
      </c>
      <c r="E44" s="56" t="s">
        <v>138</v>
      </c>
      <c r="F44" s="56" t="s">
        <v>252</v>
      </c>
      <c r="G44" s="30">
        <f>IF(E44="","",IF(OR(E44="Project Management",E44="Project Support",E44="Sprint Management",E44="Sprint Support"),"NA",ROUND((((VLOOKUP(AD44,Formula!V:X,3,0)))-SUMIF(AD:AD,AD44,H:H)),2)))</f>
        <v>2.86</v>
      </c>
      <c r="H44" s="63">
        <v>110</v>
      </c>
      <c r="I44" s="63">
        <v>110</v>
      </c>
      <c r="J44" s="63" t="s">
        <v>203</v>
      </c>
      <c r="K44" s="31">
        <f>IF(E44="","",IF(OR(E44="Project Management",E44="Project Support",E44="Sprint Management",E44="Sprint Support"),"NA",(((SUMIF(AD:AD,AD44,H:H)/VLOOKUP(AD44,Formula!V:X,3,0))*VLOOKUP(AD44,Formula!V:X,2,0))*H44)/SUMIF(AD:AD,AD44,H:H)))</f>
        <v>15.399980893323955</v>
      </c>
      <c r="L44" s="31">
        <f t="shared" si="0"/>
        <v>0.13999982630294505</v>
      </c>
      <c r="M44" s="31">
        <f t="shared" si="1"/>
        <v>0.13999982630294505</v>
      </c>
      <c r="N44" s="31">
        <f t="shared" si="2"/>
        <v>0</v>
      </c>
      <c r="O44" s="31">
        <f t="shared" si="3"/>
        <v>1</v>
      </c>
      <c r="P44" s="32">
        <f t="shared" si="4"/>
        <v>1</v>
      </c>
      <c r="AC44" s="35" t="str">
        <f>IF(B44="","",VLOOKUP(B44,Formula!B:C,2,0))</f>
        <v>Release_1</v>
      </c>
      <c r="AD44" s="36" t="str">
        <f t="shared" si="5"/>
        <v>JFM19_Jan_Sprint_Code development</v>
      </c>
    </row>
    <row r="45" spans="1:30" x14ac:dyDescent="0.25">
      <c r="A45" s="56">
        <v>15</v>
      </c>
      <c r="B45" s="56" t="s">
        <v>261</v>
      </c>
      <c r="C45" s="57">
        <v>43466</v>
      </c>
      <c r="D45" s="59" t="s">
        <v>389</v>
      </c>
      <c r="E45" s="56" t="s">
        <v>138</v>
      </c>
      <c r="F45" s="56" t="s">
        <v>238</v>
      </c>
      <c r="G45" s="30">
        <f>IF(E45="","",IF(OR(E45="Project Management",E45="Project Support",E45="Sprint Management",E45="Sprint Support"),"NA",ROUND((((VLOOKUP(AD45,Formula!V:X,3,0)))-SUMIF(AD:AD,AD45,H:H)),2)))</f>
        <v>2.86</v>
      </c>
      <c r="H45" s="63">
        <v>110</v>
      </c>
      <c r="I45" s="63">
        <v>110</v>
      </c>
      <c r="J45" s="63" t="s">
        <v>203</v>
      </c>
      <c r="K45" s="31">
        <f>IF(E45="","",IF(OR(E45="Project Management",E45="Project Support",E45="Sprint Management",E45="Sprint Support"),"NA",(((SUMIF(AD:AD,AD45,H:H)/VLOOKUP(AD45,Formula!V:X,3,0))*VLOOKUP(AD45,Formula!V:X,2,0))*H45)/SUMIF(AD:AD,AD45,H:H)))</f>
        <v>15.399980893323955</v>
      </c>
      <c r="L45" s="31">
        <f t="shared" si="0"/>
        <v>0.13999982630294505</v>
      </c>
      <c r="M45" s="31">
        <f t="shared" si="1"/>
        <v>0.13999982630294505</v>
      </c>
      <c r="N45" s="31">
        <f t="shared" si="2"/>
        <v>0</v>
      </c>
      <c r="O45" s="31">
        <f t="shared" si="3"/>
        <v>1</v>
      </c>
      <c r="P45" s="32">
        <f t="shared" si="4"/>
        <v>1</v>
      </c>
      <c r="AC45" s="35" t="str">
        <f>IF(B45="","",VLOOKUP(B45,Formula!B:C,2,0))</f>
        <v>Release_1</v>
      </c>
      <c r="AD45" s="36" t="str">
        <f t="shared" si="5"/>
        <v>JFM19_Jan_Sprint_Code development</v>
      </c>
    </row>
    <row r="46" spans="1:30" x14ac:dyDescent="0.25">
      <c r="A46" s="56">
        <v>15</v>
      </c>
      <c r="B46" s="56" t="s">
        <v>261</v>
      </c>
      <c r="C46" s="57">
        <v>43466</v>
      </c>
      <c r="D46" s="59" t="s">
        <v>389</v>
      </c>
      <c r="E46" s="56" t="s">
        <v>138</v>
      </c>
      <c r="F46" s="56" t="s">
        <v>251</v>
      </c>
      <c r="G46" s="30">
        <f>IF(E46="","",IF(OR(E46="Project Management",E46="Project Support",E46="Sprint Management",E46="Sprint Support"),"NA",ROUND((((VLOOKUP(AD46,Formula!V:X,3,0)))-SUMIF(AD:AD,AD46,H:H)),2)))</f>
        <v>2.86</v>
      </c>
      <c r="H46" s="63">
        <v>110</v>
      </c>
      <c r="I46" s="63">
        <v>110</v>
      </c>
      <c r="J46" s="63" t="s">
        <v>203</v>
      </c>
      <c r="K46" s="31">
        <f>IF(E46="","",IF(OR(E46="Project Management",E46="Project Support",E46="Sprint Management",E46="Sprint Support"),"NA",(((SUMIF(AD:AD,AD46,H:H)/VLOOKUP(AD46,Formula!V:X,3,0))*VLOOKUP(AD46,Formula!V:X,2,0))*H46)/SUMIF(AD:AD,AD46,H:H)))</f>
        <v>15.399980893323955</v>
      </c>
      <c r="L46" s="31">
        <f t="shared" ref="L46" si="48">IFERROR(IF(K46="NA",(H46/I46),(K46/I46)),"")</f>
        <v>0.13999982630294505</v>
      </c>
      <c r="M46" s="31">
        <f t="shared" ref="M46" si="49">IFERROR(IF(K46="NA",1,(K46/H46)),"")</f>
        <v>0.13999982630294505</v>
      </c>
      <c r="N46" s="31">
        <f t="shared" ref="N46" si="50">IFERROR(((L46-M46)/M46)*100,"")</f>
        <v>0</v>
      </c>
      <c r="O46" s="31">
        <f t="shared" ref="O46" si="51">IFERROR(L46/M46,"")</f>
        <v>1</v>
      </c>
      <c r="P46" s="32">
        <f t="shared" ref="P46" si="52">IF(O46="","",1)</f>
        <v>1</v>
      </c>
      <c r="AC46" s="35" t="str">
        <f>IF(B46="","",VLOOKUP(B46,Formula!B:C,2,0))</f>
        <v>Release_1</v>
      </c>
      <c r="AD46" s="36" t="str">
        <f t="shared" ref="AD46" si="53">IF(B46="","",CONCATENATE(B46,"_",E46))</f>
        <v>JFM19_Jan_Sprint_Code development</v>
      </c>
    </row>
    <row r="47" spans="1:30" x14ac:dyDescent="0.25">
      <c r="A47" s="56">
        <v>15</v>
      </c>
      <c r="B47" s="56" t="s">
        <v>261</v>
      </c>
      <c r="C47" s="57">
        <v>43466</v>
      </c>
      <c r="D47" s="59" t="s">
        <v>389</v>
      </c>
      <c r="E47" s="56" t="s">
        <v>138</v>
      </c>
      <c r="F47" s="56" t="s">
        <v>256</v>
      </c>
      <c r="G47" s="30">
        <f>IF(E47="","",IF(OR(E47="Project Management",E47="Project Support",E47="Sprint Management",E47="Sprint Support"),"NA",ROUND((((VLOOKUP(AD47,Formula!V:X,3,0)))-SUMIF(AD:AD,AD47,H:H)),2)))</f>
        <v>2.86</v>
      </c>
      <c r="H47" s="63">
        <v>110</v>
      </c>
      <c r="I47" s="63">
        <v>110</v>
      </c>
      <c r="J47" s="63" t="s">
        <v>203</v>
      </c>
      <c r="K47" s="31">
        <f>IF(E47="","",IF(OR(E47="Project Management",E47="Project Support",E47="Sprint Management",E47="Sprint Support"),"NA",(((SUMIF(AD:AD,AD47,H:H)/VLOOKUP(AD47,Formula!V:X,3,0))*VLOOKUP(AD47,Formula!V:X,2,0))*H47)/SUMIF(AD:AD,AD47,H:H)))</f>
        <v>15.399980893323955</v>
      </c>
      <c r="L47" s="31">
        <f t="shared" ref="L47" si="54">IFERROR(IF(K47="NA",(H47/I47),(K47/I47)),"")</f>
        <v>0.13999982630294505</v>
      </c>
      <c r="M47" s="31">
        <f t="shared" ref="M47" si="55">IFERROR(IF(K47="NA",1,(K47/H47)),"")</f>
        <v>0.13999982630294505</v>
      </c>
      <c r="N47" s="31">
        <f t="shared" ref="N47" si="56">IFERROR(((L47-M47)/M47)*100,"")</f>
        <v>0</v>
      </c>
      <c r="O47" s="31">
        <f t="shared" ref="O47" si="57">IFERROR(L47/M47,"")</f>
        <v>1</v>
      </c>
      <c r="P47" s="32">
        <f t="shared" ref="P47" si="58">IF(O47="","",1)</f>
        <v>1</v>
      </c>
      <c r="AC47" s="35" t="str">
        <f>IF(B47="","",VLOOKUP(B47,Formula!B:C,2,0))</f>
        <v>Release_1</v>
      </c>
      <c r="AD47" s="36" t="str">
        <f t="shared" ref="AD47" si="59">IF(B47="","",CONCATENATE(B47,"_",E47))</f>
        <v>JFM19_Jan_Sprint_Code development</v>
      </c>
    </row>
    <row r="48" spans="1:30" x14ac:dyDescent="0.25">
      <c r="A48" s="56">
        <v>15</v>
      </c>
      <c r="B48" s="56" t="s">
        <v>261</v>
      </c>
      <c r="C48" s="57">
        <v>43466</v>
      </c>
      <c r="D48" s="59" t="s">
        <v>390</v>
      </c>
      <c r="E48" s="56" t="s">
        <v>145</v>
      </c>
      <c r="F48" s="56" t="s">
        <v>257</v>
      </c>
      <c r="G48" s="30">
        <f>IF(E48="","",IF(OR(E48="Project Management",E48="Project Support",E48="Sprint Management",E48="Sprint Support"),"NA",ROUND((((VLOOKUP(AD48,Formula!V:X,3,0)))-SUMIF(AD:AD,AD48,H:H)),2)))</f>
        <v>-1.43</v>
      </c>
      <c r="H48" s="63">
        <v>180</v>
      </c>
      <c r="I48" s="63">
        <v>110</v>
      </c>
      <c r="J48" s="63" t="s">
        <v>203</v>
      </c>
      <c r="K48" s="31">
        <f>IF(E48="","",IF(OR(E48="Project Management",E48="Project Support",E48="Sprint Management",E48="Sprint Support"),"NA",(((SUMIF(AD:AD,AD48,H:H)/VLOOKUP(AD48,Formula!V:X,3,0))*VLOOKUP(AD48,Formula!V:X,2,0))*H48)/SUMIF(AD:AD,AD48,H:H)))</f>
        <v>25.200041687413876</v>
      </c>
      <c r="L48" s="31">
        <f t="shared" ref="L48" si="60">IFERROR(IF(K48="NA",(H48/I48),(K48/I48)),"")</f>
        <v>0.22909128806739887</v>
      </c>
      <c r="M48" s="31">
        <f t="shared" ref="M48" si="61">IFERROR(IF(K48="NA",1,(K48/H48)),"")</f>
        <v>0.14000023159674374</v>
      </c>
      <c r="N48" s="31">
        <f t="shared" ref="N48" si="62">IFERROR(((L48-M48)/M48)*100,"")</f>
        <v>63.636363636363647</v>
      </c>
      <c r="O48" s="31">
        <f t="shared" ref="O48" si="63">IFERROR(L48/M48,"")</f>
        <v>1.6363636363636365</v>
      </c>
      <c r="P48" s="32">
        <f t="shared" ref="P48" si="64">IF(O48="","",1)</f>
        <v>1</v>
      </c>
      <c r="AC48" s="35" t="str">
        <f>IF(B48="","",VLOOKUP(B48,Formula!B:C,2,0))</f>
        <v>Release_1</v>
      </c>
      <c r="AD48" s="36" t="str">
        <f t="shared" ref="AD48" si="65">IF(B48="","",CONCATENATE(B48,"_",E48))</f>
        <v>JFM19_Jan_Sprint_Others (such as -Analysis, Design, CI)</v>
      </c>
    </row>
    <row r="49" spans="1:30" x14ac:dyDescent="0.25">
      <c r="A49" s="56">
        <v>15</v>
      </c>
      <c r="B49" s="56" t="s">
        <v>261</v>
      </c>
      <c r="C49" s="57">
        <v>43466</v>
      </c>
      <c r="D49" s="59" t="s">
        <v>389</v>
      </c>
      <c r="E49" s="56" t="s">
        <v>145</v>
      </c>
      <c r="F49" s="56" t="s">
        <v>239</v>
      </c>
      <c r="G49" s="30">
        <f>IF(E49="","",IF(OR(E49="Project Management",E49="Project Support",E49="Sprint Management",E49="Sprint Support"),"NA",ROUND((((VLOOKUP(AD49,Formula!V:X,3,0)))-SUMIF(AD:AD,AD49,H:H)),2)))</f>
        <v>-1.43</v>
      </c>
      <c r="H49" s="63">
        <v>180</v>
      </c>
      <c r="I49" s="63">
        <v>110</v>
      </c>
      <c r="J49" s="63" t="s">
        <v>203</v>
      </c>
      <c r="K49" s="31">
        <f>IF(E49="","",IF(OR(E49="Project Management",E49="Project Support",E49="Sprint Management",E49="Sprint Support"),"NA",(((SUMIF(AD:AD,AD49,H:H)/VLOOKUP(AD49,Formula!V:X,3,0))*VLOOKUP(AD49,Formula!V:X,2,0))*H49)/SUMIF(AD:AD,AD49,H:H)))</f>
        <v>25.200041687413876</v>
      </c>
      <c r="L49" s="31">
        <f t="shared" si="0"/>
        <v>0.22909128806739887</v>
      </c>
      <c r="M49" s="31">
        <f t="shared" si="1"/>
        <v>0.14000023159674374</v>
      </c>
      <c r="N49" s="31">
        <f t="shared" si="2"/>
        <v>63.636363636363647</v>
      </c>
      <c r="O49" s="31">
        <f t="shared" si="3"/>
        <v>1.6363636363636365</v>
      </c>
      <c r="P49" s="32">
        <f t="shared" si="4"/>
        <v>1</v>
      </c>
      <c r="AC49" s="35" t="str">
        <f>IF(B49="","",VLOOKUP(B49,Formula!B:C,2,0))</f>
        <v>Release_1</v>
      </c>
      <c r="AD49" s="36" t="str">
        <f t="shared" si="5"/>
        <v>JFM19_Jan_Sprint_Others (such as -Analysis, Design, CI)</v>
      </c>
    </row>
    <row r="50" spans="1:30" x14ac:dyDescent="0.25">
      <c r="A50" s="56">
        <v>15</v>
      </c>
      <c r="B50" s="56" t="s">
        <v>261</v>
      </c>
      <c r="C50" s="57">
        <v>43466</v>
      </c>
      <c r="D50" s="59" t="s">
        <v>393</v>
      </c>
      <c r="E50" s="56" t="s">
        <v>145</v>
      </c>
      <c r="F50" s="56" t="s">
        <v>238</v>
      </c>
      <c r="G50" s="30">
        <f>IF(E50="","",IF(OR(E50="Project Management",E50="Project Support",E50="Sprint Management",E50="Sprint Support"),"NA",ROUND((((VLOOKUP(AD50,Formula!V:X,3,0)))-SUMIF(AD:AD,AD50,H:H)),2)))</f>
        <v>-1.43</v>
      </c>
      <c r="H50" s="63">
        <v>60</v>
      </c>
      <c r="I50" s="63">
        <v>110</v>
      </c>
      <c r="J50" s="63" t="s">
        <v>203</v>
      </c>
      <c r="K50" s="31">
        <f>IF(E50="","",IF(OR(E50="Project Management",E50="Project Support",E50="Sprint Management",E50="Sprint Support"),"NA",(((SUMIF(AD:AD,AD50,H:H)/VLOOKUP(AD50,Formula!V:X,3,0))*VLOOKUP(AD50,Formula!V:X,2,0))*H50)/SUMIF(AD:AD,AD50,H:H)))</f>
        <v>8.4000138958046247</v>
      </c>
      <c r="L50" s="31">
        <f t="shared" si="0"/>
        <v>7.6363762689132947E-2</v>
      </c>
      <c r="M50" s="31">
        <f t="shared" si="1"/>
        <v>0.14000023159674374</v>
      </c>
      <c r="N50" s="31">
        <f t="shared" si="2"/>
        <v>-45.45454545454546</v>
      </c>
      <c r="O50" s="31">
        <f t="shared" si="3"/>
        <v>0.54545454545454541</v>
      </c>
      <c r="P50" s="32">
        <f t="shared" si="4"/>
        <v>1</v>
      </c>
      <c r="AC50" s="35" t="str">
        <f>IF(B50="","",VLOOKUP(B50,Formula!B:C,2,0))</f>
        <v>Release_1</v>
      </c>
      <c r="AD50" s="36" t="str">
        <f t="shared" si="5"/>
        <v>JFM19_Jan_Sprint_Others (such as -Analysis, Design, CI)</v>
      </c>
    </row>
    <row r="51" spans="1:30" x14ac:dyDescent="0.25">
      <c r="A51" s="56">
        <v>15</v>
      </c>
      <c r="B51" s="56" t="s">
        <v>261</v>
      </c>
      <c r="C51" s="57">
        <v>43466</v>
      </c>
      <c r="D51" s="59" t="s">
        <v>394</v>
      </c>
      <c r="E51" s="56" t="s">
        <v>145</v>
      </c>
      <c r="F51" s="56" t="s">
        <v>276</v>
      </c>
      <c r="G51" s="30">
        <f>IF(E51="","",IF(OR(E51="Project Management",E51="Project Support",E51="Sprint Management",E51="Sprint Support"),"NA",ROUND((((VLOOKUP(AD51,Formula!V:X,3,0)))-SUMIF(AD:AD,AD51,H:H)),2)))</f>
        <v>-1.43</v>
      </c>
      <c r="H51" s="63">
        <v>130</v>
      </c>
      <c r="I51" s="63">
        <v>110</v>
      </c>
      <c r="J51" s="63" t="s">
        <v>203</v>
      </c>
      <c r="K51" s="31">
        <f>IF(E51="","",IF(OR(E51="Project Management",E51="Project Support",E51="Sprint Management",E51="Sprint Support"),"NA",(((SUMIF(AD:AD,AD51,H:H)/VLOOKUP(AD51,Formula!V:X,3,0))*VLOOKUP(AD51,Formula!V:X,2,0))*H51)/SUMIF(AD:AD,AD51,H:H)))</f>
        <v>18.200030107576687</v>
      </c>
      <c r="L51" s="31">
        <f t="shared" si="0"/>
        <v>0.16545481915978807</v>
      </c>
      <c r="M51" s="31">
        <f t="shared" si="1"/>
        <v>0.14000023159674374</v>
      </c>
      <c r="N51" s="31">
        <f t="shared" si="2"/>
        <v>18.181818181818194</v>
      </c>
      <c r="O51" s="31">
        <f t="shared" si="3"/>
        <v>1.1818181818181819</v>
      </c>
      <c r="P51" s="32">
        <f t="shared" si="4"/>
        <v>1</v>
      </c>
      <c r="AC51" s="35" t="str">
        <f>IF(B51="","",VLOOKUP(B51,Formula!B:C,2,0))</f>
        <v>Release_1</v>
      </c>
      <c r="AD51" s="36" t="str">
        <f t="shared" si="5"/>
        <v>JFM19_Jan_Sprint_Others (such as -Analysis, Design, CI)</v>
      </c>
    </row>
    <row r="52" spans="1:30" x14ac:dyDescent="0.25">
      <c r="A52" s="56">
        <v>15</v>
      </c>
      <c r="B52" s="56" t="s">
        <v>261</v>
      </c>
      <c r="C52" s="57">
        <v>43466</v>
      </c>
      <c r="D52" s="59" t="s">
        <v>394</v>
      </c>
      <c r="E52" s="56" t="s">
        <v>145</v>
      </c>
      <c r="F52" s="56" t="s">
        <v>382</v>
      </c>
      <c r="G52" s="30">
        <f>IF(E52="","",IF(OR(E52="Project Management",E52="Project Support",E52="Sprint Management",E52="Sprint Support"),"NA",ROUND((((VLOOKUP(AD52,Formula!V:X,3,0)))-SUMIF(AD:AD,AD52,H:H)),2)))</f>
        <v>-1.43</v>
      </c>
      <c r="H52" s="63">
        <v>70</v>
      </c>
      <c r="I52" s="63">
        <v>110</v>
      </c>
      <c r="J52" s="63" t="s">
        <v>203</v>
      </c>
      <c r="K52" s="31">
        <f>IF(E52="","",IF(OR(E52="Project Management",E52="Project Support",E52="Sprint Management",E52="Sprint Support"),"NA",(((SUMIF(AD:AD,AD52,H:H)/VLOOKUP(AD52,Formula!V:X,3,0))*VLOOKUP(AD52,Formula!V:X,2,0))*H52)/SUMIF(AD:AD,AD52,H:H)))</f>
        <v>9.8000162117720624</v>
      </c>
      <c r="L52" s="31">
        <f t="shared" ref="L52" si="66">IFERROR(IF(K52="NA",(H52/I52),(K52/I52)),"")</f>
        <v>8.9091056470655114E-2</v>
      </c>
      <c r="M52" s="31">
        <f t="shared" ref="M52" si="67">IFERROR(IF(K52="NA",1,(K52/H52)),"")</f>
        <v>0.14000023159674374</v>
      </c>
      <c r="N52" s="31">
        <f t="shared" ref="N52" si="68">IFERROR(((L52-M52)/M52)*100,"")</f>
        <v>-36.36363636363636</v>
      </c>
      <c r="O52" s="31">
        <f t="shared" ref="O52" si="69">IFERROR(L52/M52,"")</f>
        <v>0.63636363636363635</v>
      </c>
      <c r="P52" s="32">
        <f t="shared" ref="P52" si="70">IF(O52="","",1)</f>
        <v>1</v>
      </c>
      <c r="AC52" s="35" t="str">
        <f>IF(B52="","",VLOOKUP(B52,Formula!B:C,2,0))</f>
        <v>Release_1</v>
      </c>
      <c r="AD52" s="36" t="str">
        <f t="shared" ref="AD52" si="71">IF(B52="","",CONCATENATE(B52,"_",E52))</f>
        <v>JFM19_Jan_Sprint_Others (such as -Analysis, Design, CI)</v>
      </c>
    </row>
    <row r="53" spans="1:30" ht="30" x14ac:dyDescent="0.25">
      <c r="A53" s="56">
        <v>22</v>
      </c>
      <c r="B53" s="56" t="s">
        <v>261</v>
      </c>
      <c r="C53" s="57">
        <v>43466</v>
      </c>
      <c r="D53" s="59" t="s">
        <v>321</v>
      </c>
      <c r="E53" s="56" t="s">
        <v>143</v>
      </c>
      <c r="F53" s="56" t="s">
        <v>243</v>
      </c>
      <c r="G53" s="30">
        <f>IF(E56="","",IF(OR(E56="Project Management",E56="Project Support",E56="Sprint Management",E56="Sprint Support"),"NA",ROUND((((VLOOKUP(AD53,Formula!V:X,3,0)))-SUMIF(AD:AD,AD53,H:H)),2)))</f>
        <v>4.57</v>
      </c>
      <c r="H53" s="63">
        <v>8</v>
      </c>
      <c r="I53" s="63">
        <v>8</v>
      </c>
      <c r="J53" s="63" t="s">
        <v>203</v>
      </c>
      <c r="K53" s="31">
        <f>IF(E56="","",IF(OR(E56="Project Management",E56="Project Support",E56="Sprint Management",E56="Sprint Support"),"NA",(((SUMIF(AD:AD,AD53,H:H)/VLOOKUP(AD53,Formula!V:X,3,0))*VLOOKUP(AD53,Formula!V:X,2,0))*H53)/SUMIF(AD:AD,AD53,H:H)))</f>
        <v>1.1200034739561848</v>
      </c>
      <c r="L53" s="31">
        <f t="shared" si="0"/>
        <v>0.1400004342445231</v>
      </c>
      <c r="M53" s="31">
        <f t="shared" si="1"/>
        <v>0.1400004342445231</v>
      </c>
      <c r="N53" s="31">
        <f t="shared" si="2"/>
        <v>0</v>
      </c>
      <c r="O53" s="31">
        <f t="shared" si="3"/>
        <v>1</v>
      </c>
      <c r="P53" s="32">
        <f t="shared" si="4"/>
        <v>1</v>
      </c>
      <c r="AC53" s="35" t="str">
        <f>IF(B53="","",VLOOKUP(B53,Formula!B:C,2,0))</f>
        <v>Release_1</v>
      </c>
      <c r="AD53" s="36" t="str">
        <f t="shared" si="5"/>
        <v>JFM19_Jan_Sprint_Sprint rework</v>
      </c>
    </row>
    <row r="54" spans="1:30" ht="45" x14ac:dyDescent="0.25">
      <c r="A54" s="56">
        <v>73</v>
      </c>
      <c r="B54" s="56" t="s">
        <v>261</v>
      </c>
      <c r="C54" s="57">
        <v>43466</v>
      </c>
      <c r="D54" s="59" t="s">
        <v>322</v>
      </c>
      <c r="E54" s="56" t="s">
        <v>143</v>
      </c>
      <c r="F54" s="56" t="s">
        <v>243</v>
      </c>
      <c r="G54" s="30">
        <f>IF(E54="","",IF(OR(E54="Project Management",E54="Project Support",E54="Sprint Management",E54="Sprint Support"),"NA",ROUND((((VLOOKUP(AD54,Formula!V:X,3,0)))-SUMIF(AD:AD,AD54,H:H)),2)))</f>
        <v>4.57</v>
      </c>
      <c r="H54" s="63">
        <v>8</v>
      </c>
      <c r="I54" s="63">
        <v>8</v>
      </c>
      <c r="J54" s="63" t="s">
        <v>203</v>
      </c>
      <c r="K54" s="31">
        <f>IF(E54="","",IF(OR(E54="Project Management",E54="Project Support",E54="Sprint Management",E54="Sprint Support"),"NA",(((SUMIF(AD:AD,AD54,H:H)/VLOOKUP(AD54,Formula!V:X,3,0))*VLOOKUP(AD54,Formula!V:X,2,0))*H54)/SUMIF(AD:AD,AD54,H:H)))</f>
        <v>1.1200034739561848</v>
      </c>
      <c r="L54" s="31">
        <f t="shared" si="0"/>
        <v>0.1400004342445231</v>
      </c>
      <c r="M54" s="31">
        <f t="shared" si="1"/>
        <v>0.1400004342445231</v>
      </c>
      <c r="N54" s="31">
        <f t="shared" si="2"/>
        <v>0</v>
      </c>
      <c r="O54" s="31">
        <f t="shared" si="3"/>
        <v>1</v>
      </c>
      <c r="P54" s="32">
        <f t="shared" si="4"/>
        <v>1</v>
      </c>
      <c r="AC54" s="35" t="str">
        <f>IF(B54="","",VLOOKUP(B54,Formula!B:C,2,0))</f>
        <v>Release_1</v>
      </c>
      <c r="AD54" s="36" t="str">
        <f t="shared" ref="AD54:AD85" si="72">IF(B54="","",CONCATENATE(B54,"_",E54))</f>
        <v>JFM19_Jan_Sprint_Sprint rework</v>
      </c>
    </row>
    <row r="55" spans="1:30" ht="45" x14ac:dyDescent="0.25">
      <c r="A55" s="56">
        <v>74</v>
      </c>
      <c r="B55" s="56" t="s">
        <v>261</v>
      </c>
      <c r="C55" s="57">
        <v>43466</v>
      </c>
      <c r="D55" s="58" t="s">
        <v>323</v>
      </c>
      <c r="E55" s="56" t="s">
        <v>143</v>
      </c>
      <c r="F55" s="56" t="s">
        <v>274</v>
      </c>
      <c r="G55" s="30">
        <f>IF(E55="","",IF(OR(E55="Project Management",E55="Project Support",E55="Sprint Management",E55="Sprint Support"),"NA",ROUND((((VLOOKUP(AD55,Formula!V:X,3,0)))-SUMIF(AD:AD,AD55,H:H)),2)))</f>
        <v>4.57</v>
      </c>
      <c r="H55" s="63">
        <v>8</v>
      </c>
      <c r="I55" s="63">
        <v>8</v>
      </c>
      <c r="J55" s="63" t="s">
        <v>203</v>
      </c>
      <c r="K55" s="31">
        <f>IF(E55="","",IF(OR(E55="Project Management",E55="Project Support",E55="Sprint Management",E55="Sprint Support"),"NA",(((SUMIF(AD:AD,AD55,H:H)/VLOOKUP(AD55,Formula!V:X,3,0))*VLOOKUP(AD55,Formula!V:X,2,0))*H55)/SUMIF(AD:AD,AD55,H:H)))</f>
        <v>1.1200034739561848</v>
      </c>
      <c r="L55" s="31">
        <f t="shared" si="0"/>
        <v>0.1400004342445231</v>
      </c>
      <c r="M55" s="31">
        <f t="shared" si="1"/>
        <v>0.1400004342445231</v>
      </c>
      <c r="N55" s="31">
        <f t="shared" si="2"/>
        <v>0</v>
      </c>
      <c r="O55" s="31">
        <f t="shared" si="3"/>
        <v>1</v>
      </c>
      <c r="P55" s="32">
        <f t="shared" si="4"/>
        <v>1</v>
      </c>
      <c r="AC55" s="35" t="str">
        <f>IF(B55="","",VLOOKUP(B55,Formula!B:C,2,0))</f>
        <v>Release_1</v>
      </c>
      <c r="AD55" s="36" t="str">
        <f t="shared" si="72"/>
        <v>JFM19_Jan_Sprint_Sprint rework</v>
      </c>
    </row>
    <row r="56" spans="1:30" ht="30" x14ac:dyDescent="0.25">
      <c r="A56" s="56">
        <v>5</v>
      </c>
      <c r="B56" s="56" t="s">
        <v>261</v>
      </c>
      <c r="C56" s="57">
        <v>43466</v>
      </c>
      <c r="D56" s="59" t="s">
        <v>324</v>
      </c>
      <c r="E56" s="56" t="s">
        <v>143</v>
      </c>
      <c r="F56" s="56" t="s">
        <v>275</v>
      </c>
      <c r="G56" s="30">
        <f>IF(E56="","",IF(OR(E56="Project Management",E56="Project Support",E56="Sprint Management",E56="Sprint Support"),"NA",ROUND((((VLOOKUP(AD56,Formula!V:X,3,0)))-SUMIF(AD:AD,AD56,H:H)),2)))</f>
        <v>4.57</v>
      </c>
      <c r="H56" s="63">
        <v>8</v>
      </c>
      <c r="I56" s="63">
        <v>8</v>
      </c>
      <c r="J56" s="63" t="s">
        <v>203</v>
      </c>
      <c r="K56" s="31">
        <f>IF(E56="","",IF(OR(E56="Project Management",E56="Project Support",E56="Sprint Management",E56="Sprint Support"),"NA",(((SUMIF(AD:AD,AD56,H:H)/VLOOKUP(AD56,Formula!V:X,3,0))*VLOOKUP(AD56,Formula!V:X,2,0))*H56)/SUMIF(AD:AD,AD56,H:H)))</f>
        <v>1.1200034739561848</v>
      </c>
      <c r="L56" s="31">
        <f t="shared" si="0"/>
        <v>0.1400004342445231</v>
      </c>
      <c r="M56" s="31">
        <f t="shared" si="1"/>
        <v>0.1400004342445231</v>
      </c>
      <c r="N56" s="31">
        <f t="shared" si="2"/>
        <v>0</v>
      </c>
      <c r="O56" s="31">
        <f t="shared" si="3"/>
        <v>1</v>
      </c>
      <c r="P56" s="32">
        <f t="shared" si="4"/>
        <v>1</v>
      </c>
      <c r="AC56" s="35" t="str">
        <f>IF(B56="","",VLOOKUP(B56,Formula!B:C,2,0))</f>
        <v>Release_1</v>
      </c>
      <c r="AD56" s="36" t="str">
        <f t="shared" si="72"/>
        <v>JFM19_Jan_Sprint_Sprint rework</v>
      </c>
    </row>
    <row r="57" spans="1:30" ht="30" x14ac:dyDescent="0.25">
      <c r="A57" s="56">
        <v>16</v>
      </c>
      <c r="B57" s="56" t="s">
        <v>261</v>
      </c>
      <c r="C57" s="57">
        <v>43466</v>
      </c>
      <c r="D57" s="59" t="s">
        <v>325</v>
      </c>
      <c r="E57" s="56" t="s">
        <v>143</v>
      </c>
      <c r="F57" s="56" t="s">
        <v>278</v>
      </c>
      <c r="G57" s="30">
        <f>IF(E57="","",IF(OR(E57="Project Management",E57="Project Support",E57="Sprint Management",E57="Sprint Support"),"NA",ROUND((((VLOOKUP(AD57,Formula!V:X,3,0)))-SUMIF(AD:AD,AD57,H:H)),2)))</f>
        <v>4.57</v>
      </c>
      <c r="H57" s="63">
        <v>8</v>
      </c>
      <c r="I57" s="63">
        <v>8</v>
      </c>
      <c r="J57" s="63" t="s">
        <v>203</v>
      </c>
      <c r="K57" s="31">
        <f>IF(E57="","",IF(OR(E57="Project Management",E57="Project Support",E57="Sprint Management",E57="Sprint Support"),"NA",(((SUMIF(AD:AD,AD57,H:H)/VLOOKUP(AD57,Formula!V:X,3,0))*VLOOKUP(AD57,Formula!V:X,2,0))*H57)/SUMIF(AD:AD,AD57,H:H)))</f>
        <v>1.1200034739561848</v>
      </c>
      <c r="L57" s="31">
        <f t="shared" si="0"/>
        <v>0.1400004342445231</v>
      </c>
      <c r="M57" s="31">
        <f t="shared" si="1"/>
        <v>0.1400004342445231</v>
      </c>
      <c r="N57" s="31">
        <f t="shared" si="2"/>
        <v>0</v>
      </c>
      <c r="O57" s="31">
        <f t="shared" si="3"/>
        <v>1</v>
      </c>
      <c r="P57" s="32">
        <f t="shared" si="4"/>
        <v>1</v>
      </c>
      <c r="AC57" s="35" t="str">
        <f>IF(B57="","",VLOOKUP(B57,Formula!B:C,2,0))</f>
        <v>Release_1</v>
      </c>
      <c r="AD57" s="36" t="str">
        <f t="shared" si="72"/>
        <v>JFM19_Jan_Sprint_Sprint rework</v>
      </c>
    </row>
    <row r="58" spans="1:30" ht="45" x14ac:dyDescent="0.25">
      <c r="A58" s="56">
        <v>23</v>
      </c>
      <c r="B58" s="56" t="s">
        <v>261</v>
      </c>
      <c r="C58" s="57">
        <v>43466</v>
      </c>
      <c r="D58" s="59" t="s">
        <v>326</v>
      </c>
      <c r="E58" s="56" t="s">
        <v>143</v>
      </c>
      <c r="F58" s="56" t="s">
        <v>278</v>
      </c>
      <c r="G58" s="30">
        <f>IF(E58="","",IF(OR(E58="Project Management",E58="Project Support",E58="Sprint Management",E58="Sprint Support"),"NA",ROUND((((VLOOKUP(AD58,Formula!V:X,3,0)))-SUMIF(AD:AD,AD58,H:H)),2)))</f>
        <v>4.57</v>
      </c>
      <c r="H58" s="63">
        <v>8</v>
      </c>
      <c r="I58" s="63">
        <v>8</v>
      </c>
      <c r="J58" s="63" t="s">
        <v>203</v>
      </c>
      <c r="K58" s="31">
        <f>IF(E58="","",IF(OR(E58="Project Management",E58="Project Support",E58="Sprint Management",E58="Sprint Support"),"NA",(((SUMIF(AD:AD,AD58,H:H)/VLOOKUP(AD58,Formula!V:X,3,0))*VLOOKUP(AD58,Formula!V:X,2,0))*H58)/SUMIF(AD:AD,AD58,H:H)))</f>
        <v>1.1200034739561848</v>
      </c>
      <c r="L58" s="31">
        <f t="shared" si="0"/>
        <v>0.1400004342445231</v>
      </c>
      <c r="M58" s="31">
        <f t="shared" si="1"/>
        <v>0.1400004342445231</v>
      </c>
      <c r="N58" s="31">
        <f t="shared" si="2"/>
        <v>0</v>
      </c>
      <c r="O58" s="31">
        <f t="shared" si="3"/>
        <v>1</v>
      </c>
      <c r="P58" s="32">
        <f t="shared" si="4"/>
        <v>1</v>
      </c>
      <c r="AC58" s="35" t="str">
        <f>IF(B58="","",VLOOKUP(B58,Formula!B:C,2,0))</f>
        <v>Release_1</v>
      </c>
      <c r="AD58" s="36" t="str">
        <f t="shared" si="72"/>
        <v>JFM19_Jan_Sprint_Sprint rework</v>
      </c>
    </row>
    <row r="59" spans="1:30" ht="45" x14ac:dyDescent="0.25">
      <c r="A59" s="56">
        <v>27</v>
      </c>
      <c r="B59" s="56" t="s">
        <v>261</v>
      </c>
      <c r="C59" s="57">
        <v>43466</v>
      </c>
      <c r="D59" s="58" t="s">
        <v>327</v>
      </c>
      <c r="E59" s="56" t="s">
        <v>143</v>
      </c>
      <c r="F59" s="56" t="s">
        <v>251</v>
      </c>
      <c r="G59" s="30">
        <f>IF(E59="","",IF(OR(E59="Project Management",E59="Project Support",E59="Sprint Management",E59="Sprint Support"),"NA",ROUND((((VLOOKUP(AD59,Formula!V:X,3,0)))-SUMIF(AD:AD,AD59,H:H)),2)))</f>
        <v>4.57</v>
      </c>
      <c r="H59" s="63">
        <v>6</v>
      </c>
      <c r="I59" s="63">
        <v>6</v>
      </c>
      <c r="J59" s="63" t="s">
        <v>203</v>
      </c>
      <c r="K59" s="31">
        <f>IF(E59="","",IF(OR(E59="Project Management",E59="Project Support",E59="Sprint Management",E59="Sprint Support"),"NA",(((SUMIF(AD:AD,AD59,H:H)/VLOOKUP(AD59,Formula!V:X,3,0))*VLOOKUP(AD59,Formula!V:X,2,0))*H59)/SUMIF(AD:AD,AD59,H:H)))</f>
        <v>0.84000260546713856</v>
      </c>
      <c r="L59" s="31">
        <f t="shared" si="0"/>
        <v>0.1400004342445231</v>
      </c>
      <c r="M59" s="31">
        <f t="shared" si="1"/>
        <v>0.1400004342445231</v>
      </c>
      <c r="N59" s="31">
        <f t="shared" si="2"/>
        <v>0</v>
      </c>
      <c r="O59" s="31">
        <f t="shared" si="3"/>
        <v>1</v>
      </c>
      <c r="P59" s="32">
        <f t="shared" si="4"/>
        <v>1</v>
      </c>
      <c r="AC59" s="35" t="str">
        <f>IF(B59="","",VLOOKUP(B59,Formula!B:C,2,0))</f>
        <v>Release_1</v>
      </c>
      <c r="AD59" s="36" t="str">
        <f t="shared" si="72"/>
        <v>JFM19_Jan_Sprint_Sprint rework</v>
      </c>
    </row>
    <row r="60" spans="1:30" ht="45" x14ac:dyDescent="0.25">
      <c r="A60" s="56">
        <v>33</v>
      </c>
      <c r="B60" s="56" t="s">
        <v>261</v>
      </c>
      <c r="C60" s="57">
        <v>43466</v>
      </c>
      <c r="D60" s="59" t="s">
        <v>328</v>
      </c>
      <c r="E60" s="56" t="s">
        <v>143</v>
      </c>
      <c r="F60" s="56" t="s">
        <v>276</v>
      </c>
      <c r="G60" s="30">
        <f>IF(E60="","",IF(OR(E60="Project Management",E60="Project Support",E60="Sprint Management",E60="Sprint Support"),"NA",ROUND((((VLOOKUP(AD60,Formula!V:X,3,0)))-SUMIF(AD:AD,AD60,H:H)),2)))</f>
        <v>4.57</v>
      </c>
      <c r="H60" s="63">
        <v>7</v>
      </c>
      <c r="I60" s="63">
        <v>7</v>
      </c>
      <c r="J60" s="63" t="s">
        <v>203</v>
      </c>
      <c r="K60" s="31">
        <f>IF(E60="","",IF(OR(E60="Project Management",E60="Project Support",E60="Sprint Management",E60="Sprint Support"),"NA",(((SUMIF(AD:AD,AD60,H:H)/VLOOKUP(AD60,Formula!V:X,3,0))*VLOOKUP(AD60,Formula!V:X,2,0))*H60)/SUMIF(AD:AD,AD60,H:H)))</f>
        <v>0.98000303971166169</v>
      </c>
      <c r="L60" s="31">
        <f t="shared" si="0"/>
        <v>0.1400004342445231</v>
      </c>
      <c r="M60" s="31">
        <f t="shared" si="1"/>
        <v>0.1400004342445231</v>
      </c>
      <c r="N60" s="31">
        <f t="shared" si="2"/>
        <v>0</v>
      </c>
      <c r="O60" s="31">
        <f t="shared" si="3"/>
        <v>1</v>
      </c>
      <c r="P60" s="32">
        <f t="shared" si="4"/>
        <v>1</v>
      </c>
      <c r="AC60" s="35" t="str">
        <f>IF(B60="","",VLOOKUP(B60,Formula!B:C,2,0))</f>
        <v>Release_1</v>
      </c>
      <c r="AD60" s="36" t="str">
        <f t="shared" si="72"/>
        <v>JFM19_Jan_Sprint_Sprint rework</v>
      </c>
    </row>
    <row r="61" spans="1:30" ht="45" x14ac:dyDescent="0.25">
      <c r="A61" s="56">
        <v>39</v>
      </c>
      <c r="B61" s="56" t="s">
        <v>261</v>
      </c>
      <c r="C61" s="57">
        <v>43466</v>
      </c>
      <c r="D61" s="59" t="s">
        <v>329</v>
      </c>
      <c r="E61" s="56" t="s">
        <v>143</v>
      </c>
      <c r="F61" s="56" t="s">
        <v>252</v>
      </c>
      <c r="G61" s="30">
        <f>IF(E61="","",IF(OR(E61="Project Management",E61="Project Support",E61="Sprint Management",E61="Sprint Support"),"NA",ROUND((((VLOOKUP(AD61,Formula!V:X,3,0)))-SUMIF(AD:AD,AD61,H:H)),2)))</f>
        <v>4.57</v>
      </c>
      <c r="H61" s="63">
        <v>9</v>
      </c>
      <c r="I61" s="63">
        <v>9</v>
      </c>
      <c r="J61" s="63" t="s">
        <v>203</v>
      </c>
      <c r="K61" s="31">
        <f>IF(E61="","",IF(OR(E61="Project Management",E61="Project Support",E61="Sprint Management",E61="Sprint Support"),"NA",(((SUMIF(AD:AD,AD61,H:H)/VLOOKUP(AD61,Formula!V:X,3,0))*VLOOKUP(AD61,Formula!V:X,2,0))*H61)/SUMIF(AD:AD,AD61,H:H)))</f>
        <v>1.260003908200708</v>
      </c>
      <c r="L61" s="31">
        <f t="shared" si="0"/>
        <v>0.1400004342445231</v>
      </c>
      <c r="M61" s="31">
        <f t="shared" si="1"/>
        <v>0.1400004342445231</v>
      </c>
      <c r="N61" s="31">
        <f t="shared" si="2"/>
        <v>0</v>
      </c>
      <c r="O61" s="31">
        <f t="shared" si="3"/>
        <v>1</v>
      </c>
      <c r="P61" s="32">
        <f t="shared" si="4"/>
        <v>1</v>
      </c>
      <c r="AC61" s="35" t="str">
        <f>IF(B61="","",VLOOKUP(B61,Formula!B:C,2,0))</f>
        <v>Release_1</v>
      </c>
      <c r="AD61" s="36" t="str">
        <f t="shared" si="72"/>
        <v>JFM19_Jan_Sprint_Sprint rework</v>
      </c>
    </row>
    <row r="62" spans="1:30" ht="45" x14ac:dyDescent="0.25">
      <c r="A62" s="56">
        <v>40</v>
      </c>
      <c r="B62" s="56" t="s">
        <v>261</v>
      </c>
      <c r="C62" s="57">
        <v>43466</v>
      </c>
      <c r="D62" s="58" t="s">
        <v>330</v>
      </c>
      <c r="E62" s="56" t="s">
        <v>143</v>
      </c>
      <c r="F62" s="56" t="s">
        <v>277</v>
      </c>
      <c r="G62" s="30">
        <f>IF(E62="","",IF(OR(E62="Project Management",E62="Project Support",E62="Sprint Management",E62="Sprint Support"),"NA",ROUND((((VLOOKUP(AD62,Formula!V:X,3,0)))-SUMIF(AD:AD,AD62,H:H)),2)))</f>
        <v>4.57</v>
      </c>
      <c r="H62" s="63">
        <v>9</v>
      </c>
      <c r="I62" s="63">
        <v>9</v>
      </c>
      <c r="J62" s="63" t="s">
        <v>203</v>
      </c>
      <c r="K62" s="31">
        <f>IF(E62="","",IF(OR(E62="Project Management",E62="Project Support",E62="Sprint Management",E62="Sprint Support"),"NA",(((SUMIF(AD:AD,AD62,H:H)/VLOOKUP(AD62,Formula!V:X,3,0))*VLOOKUP(AD62,Formula!V:X,2,0))*H62)/SUMIF(AD:AD,AD62,H:H)))</f>
        <v>1.260003908200708</v>
      </c>
      <c r="L62" s="31">
        <f t="shared" si="0"/>
        <v>0.1400004342445231</v>
      </c>
      <c r="M62" s="31">
        <f t="shared" si="1"/>
        <v>0.1400004342445231</v>
      </c>
      <c r="N62" s="31">
        <f t="shared" si="2"/>
        <v>0</v>
      </c>
      <c r="O62" s="31">
        <f t="shared" si="3"/>
        <v>1</v>
      </c>
      <c r="P62" s="32">
        <f t="shared" si="4"/>
        <v>1</v>
      </c>
      <c r="AC62" s="35" t="str">
        <f>IF(B62="","",VLOOKUP(B62,Formula!B:C,2,0))</f>
        <v>Release_1</v>
      </c>
      <c r="AD62" s="36" t="str">
        <f t="shared" si="72"/>
        <v>JFM19_Jan_Sprint_Sprint rework</v>
      </c>
    </row>
    <row r="63" spans="1:30" ht="60" x14ac:dyDescent="0.25">
      <c r="A63" s="56">
        <v>53</v>
      </c>
      <c r="B63" s="56" t="s">
        <v>261</v>
      </c>
      <c r="C63" s="57">
        <v>43466</v>
      </c>
      <c r="D63" s="59" t="s">
        <v>331</v>
      </c>
      <c r="E63" s="56" t="s">
        <v>143</v>
      </c>
      <c r="F63" s="56" t="s">
        <v>244</v>
      </c>
      <c r="G63" s="30">
        <f>IF(E63="","",IF(OR(E63="Project Management",E63="Project Support",E63="Sprint Management",E63="Sprint Support"),"NA",ROUND((((VLOOKUP(AD63,Formula!V:X,3,0)))-SUMIF(AD:AD,AD63,H:H)),2)))</f>
        <v>4.57</v>
      </c>
      <c r="H63" s="63">
        <v>9</v>
      </c>
      <c r="I63" s="63">
        <v>9</v>
      </c>
      <c r="J63" s="63" t="s">
        <v>203</v>
      </c>
      <c r="K63" s="31">
        <f>IF(E63="","",IF(OR(E63="Project Management",E63="Project Support",E63="Sprint Management",E63="Sprint Support"),"NA",(((SUMIF(AD:AD,AD63,H:H)/VLOOKUP(AD63,Formula!V:X,3,0))*VLOOKUP(AD63,Formula!V:X,2,0))*H63)/SUMIF(AD:AD,AD63,H:H)))</f>
        <v>1.260003908200708</v>
      </c>
      <c r="L63" s="31">
        <f t="shared" si="0"/>
        <v>0.1400004342445231</v>
      </c>
      <c r="M63" s="31">
        <f t="shared" si="1"/>
        <v>0.1400004342445231</v>
      </c>
      <c r="N63" s="31">
        <f t="shared" si="2"/>
        <v>0</v>
      </c>
      <c r="O63" s="31">
        <f t="shared" si="3"/>
        <v>1</v>
      </c>
      <c r="P63" s="32">
        <f t="shared" si="4"/>
        <v>1</v>
      </c>
      <c r="AC63" s="35" t="str">
        <f>IF(B63="","",VLOOKUP(B63,Formula!B:C,2,0))</f>
        <v>Release_1</v>
      </c>
      <c r="AD63" s="36" t="str">
        <f t="shared" si="72"/>
        <v>JFM19_Jan_Sprint_Sprint rework</v>
      </c>
    </row>
    <row r="64" spans="1:30" ht="60" x14ac:dyDescent="0.25">
      <c r="A64" s="56">
        <v>69</v>
      </c>
      <c r="B64" s="56" t="s">
        <v>261</v>
      </c>
      <c r="C64" s="57">
        <v>43466</v>
      </c>
      <c r="D64" s="58" t="s">
        <v>332</v>
      </c>
      <c r="E64" s="56" t="s">
        <v>143</v>
      </c>
      <c r="F64" s="56" t="s">
        <v>254</v>
      </c>
      <c r="G64" s="30">
        <f>IF(E64="","",IF(OR(E64="Project Management",E64="Project Support",E64="Sprint Management",E64="Sprint Support"),"NA",ROUND((((VLOOKUP(AD64,Formula!V:X,3,0)))-SUMIF(AD:AD,AD64,H:H)),2)))</f>
        <v>4.57</v>
      </c>
      <c r="H64" s="63">
        <v>8</v>
      </c>
      <c r="I64" s="63">
        <v>8</v>
      </c>
      <c r="J64" s="63" t="s">
        <v>203</v>
      </c>
      <c r="K64" s="31">
        <f>IF(E64="","",IF(OR(E64="Project Management",E64="Project Support",E64="Sprint Management",E64="Sprint Support"),"NA",(((SUMIF(AD:AD,AD64,H:H)/VLOOKUP(AD64,Formula!V:X,3,0))*VLOOKUP(AD64,Formula!V:X,2,0))*H64)/SUMIF(AD:AD,AD64,H:H)))</f>
        <v>1.1200034739561848</v>
      </c>
      <c r="L64" s="31">
        <f t="shared" si="0"/>
        <v>0.1400004342445231</v>
      </c>
      <c r="M64" s="31">
        <f t="shared" si="1"/>
        <v>0.1400004342445231</v>
      </c>
      <c r="N64" s="31">
        <f t="shared" si="2"/>
        <v>0</v>
      </c>
      <c r="O64" s="31">
        <f t="shared" si="3"/>
        <v>1</v>
      </c>
      <c r="P64" s="32">
        <f t="shared" si="4"/>
        <v>1</v>
      </c>
      <c r="AC64" s="35" t="str">
        <f>IF(B64="","",VLOOKUP(B64,Formula!B:C,2,0))</f>
        <v>Release_1</v>
      </c>
      <c r="AD64" s="36" t="str">
        <f t="shared" si="72"/>
        <v>JFM19_Jan_Sprint_Sprint rework</v>
      </c>
    </row>
    <row r="65" spans="1:30" ht="45" x14ac:dyDescent="0.25">
      <c r="A65" s="56">
        <v>101</v>
      </c>
      <c r="B65" s="56" t="s">
        <v>261</v>
      </c>
      <c r="C65" s="57">
        <v>43466</v>
      </c>
      <c r="D65" s="58" t="s">
        <v>333</v>
      </c>
      <c r="E65" s="56" t="s">
        <v>143</v>
      </c>
      <c r="F65" s="56" t="s">
        <v>243</v>
      </c>
      <c r="G65" s="30">
        <f>IF(E65="","",IF(OR(E65="Project Management",E65="Project Support",E65="Sprint Management",E65="Sprint Support"),"NA",ROUND((((VLOOKUP(AD65,Formula!V:X,3,0)))-SUMIF(AD:AD,AD65,H:H)),2)))</f>
        <v>4.57</v>
      </c>
      <c r="H65" s="63">
        <v>8</v>
      </c>
      <c r="I65" s="63">
        <v>8</v>
      </c>
      <c r="J65" s="63" t="s">
        <v>203</v>
      </c>
      <c r="K65" s="31">
        <f>IF(E65="","",IF(OR(E65="Project Management",E65="Project Support",E65="Sprint Management",E65="Sprint Support"),"NA",(((SUMIF(AD:AD,AD65,H:H)/VLOOKUP(AD65,Formula!V:X,3,0))*VLOOKUP(AD65,Formula!V:X,2,0))*H65)/SUMIF(AD:AD,AD65,H:H)))</f>
        <v>1.1200034739561848</v>
      </c>
      <c r="L65" s="31">
        <f t="shared" si="0"/>
        <v>0.1400004342445231</v>
      </c>
      <c r="M65" s="31">
        <f t="shared" si="1"/>
        <v>0.1400004342445231</v>
      </c>
      <c r="N65" s="31">
        <f t="shared" si="2"/>
        <v>0</v>
      </c>
      <c r="O65" s="31">
        <f t="shared" si="3"/>
        <v>1</v>
      </c>
      <c r="P65" s="32">
        <f t="shared" si="4"/>
        <v>1</v>
      </c>
      <c r="AC65" s="35" t="str">
        <f>IF(B65="","",VLOOKUP(B65,Formula!B:C,2,0))</f>
        <v>Release_1</v>
      </c>
      <c r="AD65" s="36" t="str">
        <f t="shared" si="72"/>
        <v>JFM19_Jan_Sprint_Sprint rework</v>
      </c>
    </row>
    <row r="66" spans="1:30" ht="60" x14ac:dyDescent="0.25">
      <c r="A66" s="56">
        <v>102</v>
      </c>
      <c r="B66" s="56" t="s">
        <v>261</v>
      </c>
      <c r="C66" s="57">
        <v>43466</v>
      </c>
      <c r="D66" s="58" t="s">
        <v>334</v>
      </c>
      <c r="E66" s="56" t="s">
        <v>143</v>
      </c>
      <c r="F66" s="56" t="s">
        <v>275</v>
      </c>
      <c r="G66" s="30">
        <f>IF(E66="","",IF(OR(E66="Project Management",E66="Project Support",E66="Sprint Management",E66="Sprint Support"),"NA",ROUND((((VLOOKUP(AD66,Formula!V:X,3,0)))-SUMIF(AD:AD,AD66,H:H)),2)))</f>
        <v>4.57</v>
      </c>
      <c r="H66" s="63">
        <v>8</v>
      </c>
      <c r="I66" s="63">
        <v>8</v>
      </c>
      <c r="J66" s="63" t="s">
        <v>203</v>
      </c>
      <c r="K66" s="31">
        <f>IF(E66="","",IF(OR(E66="Project Management",E66="Project Support",E66="Sprint Management",E66="Sprint Support"),"NA",(((SUMIF(AD:AD,AD66,H:H)/VLOOKUP(AD66,Formula!V:X,3,0))*VLOOKUP(AD66,Formula!V:X,2,0))*H66)/SUMIF(AD:AD,AD66,H:H)))</f>
        <v>1.1200034739561848</v>
      </c>
      <c r="L66" s="31">
        <f t="shared" si="0"/>
        <v>0.1400004342445231</v>
      </c>
      <c r="M66" s="31">
        <f t="shared" si="1"/>
        <v>0.1400004342445231</v>
      </c>
      <c r="N66" s="31">
        <f t="shared" si="2"/>
        <v>0</v>
      </c>
      <c r="O66" s="31">
        <f t="shared" si="3"/>
        <v>1</v>
      </c>
      <c r="P66" s="32">
        <f t="shared" si="4"/>
        <v>1</v>
      </c>
      <c r="AC66" s="35" t="str">
        <f>IF(B66="","",VLOOKUP(B66,Formula!B:C,2,0))</f>
        <v>Release_1</v>
      </c>
      <c r="AD66" s="36" t="str">
        <f t="shared" si="72"/>
        <v>JFM19_Jan_Sprint_Sprint rework</v>
      </c>
    </row>
    <row r="67" spans="1:30" ht="45" x14ac:dyDescent="0.25">
      <c r="A67" s="56">
        <v>56</v>
      </c>
      <c r="B67" s="56" t="s">
        <v>261</v>
      </c>
      <c r="C67" s="57">
        <v>43466</v>
      </c>
      <c r="D67" s="59" t="s">
        <v>335</v>
      </c>
      <c r="E67" s="56" t="s">
        <v>143</v>
      </c>
      <c r="F67" s="56" t="s">
        <v>277</v>
      </c>
      <c r="G67" s="30">
        <f>IF(E67="","",IF(OR(E67="Project Management",E67="Project Support",E67="Sprint Management",E67="Sprint Support"),"NA",ROUND((((VLOOKUP(AD67,Formula!V:X,3,0)))-SUMIF(AD:AD,AD67,H:H)),2)))</f>
        <v>4.57</v>
      </c>
      <c r="H67" s="63">
        <v>8</v>
      </c>
      <c r="I67" s="63">
        <v>8</v>
      </c>
      <c r="J67" s="63" t="s">
        <v>203</v>
      </c>
      <c r="K67" s="31">
        <f>IF(E67="","",IF(OR(E67="Project Management",E67="Project Support",E67="Sprint Management",E67="Sprint Support"),"NA",(((SUMIF(AD:AD,AD67,H:H)/VLOOKUP(AD67,Formula!V:X,3,0))*VLOOKUP(AD67,Formula!V:X,2,0))*H67)/SUMIF(AD:AD,AD67,H:H)))</f>
        <v>1.1200034739561848</v>
      </c>
      <c r="L67" s="31">
        <f t="shared" si="0"/>
        <v>0.1400004342445231</v>
      </c>
      <c r="M67" s="31">
        <f t="shared" si="1"/>
        <v>0.1400004342445231</v>
      </c>
      <c r="N67" s="31">
        <f t="shared" si="2"/>
        <v>0</v>
      </c>
      <c r="O67" s="31">
        <f t="shared" si="3"/>
        <v>1</v>
      </c>
      <c r="P67" s="32">
        <f t="shared" si="4"/>
        <v>1</v>
      </c>
      <c r="AC67" s="35" t="str">
        <f>IF(B67="","",VLOOKUP(B67,Formula!B:C,2,0))</f>
        <v>Release_1</v>
      </c>
      <c r="AD67" s="36" t="str">
        <f t="shared" si="72"/>
        <v>JFM19_Jan_Sprint_Sprint rework</v>
      </c>
    </row>
    <row r="68" spans="1:30" ht="60" x14ac:dyDescent="0.25">
      <c r="A68" s="56">
        <v>65</v>
      </c>
      <c r="B68" s="56" t="s">
        <v>261</v>
      </c>
      <c r="C68" s="57">
        <v>43466</v>
      </c>
      <c r="D68" s="59" t="s">
        <v>336</v>
      </c>
      <c r="E68" s="56" t="s">
        <v>143</v>
      </c>
      <c r="F68" s="56" t="s">
        <v>238</v>
      </c>
      <c r="G68" s="30">
        <f>IF(E68="","",IF(OR(E68="Project Management",E68="Project Support",E68="Sprint Management",E68="Sprint Support"),"NA",ROUND((((VLOOKUP(AD68,Formula!V:X,3,0)))-SUMIF(AD:AD,AD68,H:H)),2)))</f>
        <v>4.57</v>
      </c>
      <c r="H68" s="63">
        <v>8</v>
      </c>
      <c r="I68" s="63">
        <v>8</v>
      </c>
      <c r="J68" s="63" t="s">
        <v>203</v>
      </c>
      <c r="K68" s="31">
        <f>IF(E68="","",IF(OR(E68="Project Management",E68="Project Support",E68="Sprint Management",E68="Sprint Support"),"NA",(((SUMIF(AD:AD,AD68,H:H)/VLOOKUP(AD68,Formula!V:X,3,0))*VLOOKUP(AD68,Formula!V:X,2,0))*H68)/SUMIF(AD:AD,AD68,H:H)))</f>
        <v>1.1200034739561848</v>
      </c>
      <c r="L68" s="31">
        <f t="shared" si="0"/>
        <v>0.1400004342445231</v>
      </c>
      <c r="M68" s="31">
        <f t="shared" si="1"/>
        <v>0.1400004342445231</v>
      </c>
      <c r="N68" s="31">
        <f t="shared" si="2"/>
        <v>0</v>
      </c>
      <c r="O68" s="31">
        <f t="shared" si="3"/>
        <v>1</v>
      </c>
      <c r="P68" s="32">
        <f t="shared" si="4"/>
        <v>1</v>
      </c>
      <c r="AC68" s="35" t="str">
        <f>IF(B68="","",VLOOKUP(B68,Formula!B:C,2,0))</f>
        <v>Release_1</v>
      </c>
      <c r="AD68" s="36" t="str">
        <f t="shared" si="72"/>
        <v>JFM19_Jan_Sprint_Sprint rework</v>
      </c>
    </row>
    <row r="69" spans="1:30" ht="75" x14ac:dyDescent="0.25">
      <c r="A69" s="56">
        <v>71</v>
      </c>
      <c r="B69" s="56" t="s">
        <v>261</v>
      </c>
      <c r="C69" s="57">
        <v>43466</v>
      </c>
      <c r="D69" s="58" t="s">
        <v>337</v>
      </c>
      <c r="E69" s="56" t="s">
        <v>143</v>
      </c>
      <c r="F69" s="56" t="s">
        <v>239</v>
      </c>
      <c r="G69" s="30">
        <f>IF(E69="","",IF(OR(E69="Project Management",E69="Project Support",E69="Sprint Management",E69="Sprint Support"),"NA",ROUND((((VLOOKUP(AD69,Formula!V:X,3,0)))-SUMIF(AD:AD,AD69,H:H)),2)))</f>
        <v>4.57</v>
      </c>
      <c r="H69" s="63">
        <v>8</v>
      </c>
      <c r="I69" s="63">
        <v>8</v>
      </c>
      <c r="J69" s="63" t="s">
        <v>203</v>
      </c>
      <c r="K69" s="31">
        <f>IF(E69="","",IF(OR(E69="Project Management",E69="Project Support",E69="Sprint Management",E69="Sprint Support"),"NA",(((SUMIF(AD:AD,AD69,H:H)/VLOOKUP(AD69,Formula!V:X,3,0))*VLOOKUP(AD69,Formula!V:X,2,0))*H69)/SUMIF(AD:AD,AD69,H:H)))</f>
        <v>1.1200034739561848</v>
      </c>
      <c r="L69" s="31">
        <f t="shared" si="0"/>
        <v>0.1400004342445231</v>
      </c>
      <c r="M69" s="31">
        <f t="shared" si="1"/>
        <v>0.1400004342445231</v>
      </c>
      <c r="N69" s="31">
        <f t="shared" si="2"/>
        <v>0</v>
      </c>
      <c r="O69" s="31">
        <f t="shared" si="3"/>
        <v>1</v>
      </c>
      <c r="P69" s="32">
        <f t="shared" si="4"/>
        <v>1</v>
      </c>
      <c r="AC69" s="35" t="str">
        <f>IF(B69="","",VLOOKUP(B69,Formula!B:C,2,0))</f>
        <v>Release_1</v>
      </c>
      <c r="AD69" s="36" t="str">
        <f t="shared" si="72"/>
        <v>JFM19_Jan_Sprint_Sprint rework</v>
      </c>
    </row>
    <row r="70" spans="1:30" ht="30" x14ac:dyDescent="0.25">
      <c r="A70" s="56">
        <v>105</v>
      </c>
      <c r="B70" s="56" t="s">
        <v>261</v>
      </c>
      <c r="C70" s="57">
        <v>43466</v>
      </c>
      <c r="D70" s="59" t="s">
        <v>338</v>
      </c>
      <c r="E70" s="56" t="s">
        <v>143</v>
      </c>
      <c r="F70" s="56" t="s">
        <v>244</v>
      </c>
      <c r="G70" s="30">
        <f>IF(E70="","",IF(OR(E70="Project Management",E70="Project Support",E70="Sprint Management",E70="Sprint Support"),"NA",ROUND((((VLOOKUP(AD70,Formula!V:X,3,0)))-SUMIF(AD:AD,AD70,H:H)),2)))</f>
        <v>4.57</v>
      </c>
      <c r="H70" s="63">
        <v>4</v>
      </c>
      <c r="I70" s="63">
        <v>4</v>
      </c>
      <c r="J70" s="63" t="s">
        <v>203</v>
      </c>
      <c r="K70" s="31">
        <f>IF(E70="","",IF(OR(E70="Project Management",E70="Project Support",E70="Sprint Management",E70="Sprint Support"),"NA",(((SUMIF(AD:AD,AD70,H:H)/VLOOKUP(AD70,Formula!V:X,3,0))*VLOOKUP(AD70,Formula!V:X,2,0))*H70)/SUMIF(AD:AD,AD70,H:H)))</f>
        <v>0.56000173697809241</v>
      </c>
      <c r="L70" s="31">
        <f t="shared" si="0"/>
        <v>0.1400004342445231</v>
      </c>
      <c r="M70" s="31">
        <f t="shared" si="1"/>
        <v>0.1400004342445231</v>
      </c>
      <c r="N70" s="31">
        <f t="shared" si="2"/>
        <v>0</v>
      </c>
      <c r="O70" s="31">
        <f t="shared" si="3"/>
        <v>1</v>
      </c>
      <c r="P70" s="32">
        <f t="shared" si="4"/>
        <v>1</v>
      </c>
      <c r="AC70" s="35" t="str">
        <f>IF(B70="","",VLOOKUP(B70,Formula!B:C,2,0))</f>
        <v>Release_1</v>
      </c>
      <c r="AD70" s="36" t="str">
        <f t="shared" si="72"/>
        <v>JFM19_Jan_Sprint_Sprint rework</v>
      </c>
    </row>
    <row r="71" spans="1:30" ht="30" x14ac:dyDescent="0.25">
      <c r="A71" s="56">
        <v>114</v>
      </c>
      <c r="B71" s="56" t="s">
        <v>261</v>
      </c>
      <c r="C71" s="57">
        <v>43466</v>
      </c>
      <c r="D71" s="58" t="s">
        <v>339</v>
      </c>
      <c r="E71" s="56" t="s">
        <v>143</v>
      </c>
      <c r="F71" s="56" t="s">
        <v>278</v>
      </c>
      <c r="G71" s="30">
        <f>IF(E71="","",IF(OR(E71="Project Management",E71="Project Support",E71="Sprint Management",E71="Sprint Support"),"NA",ROUND((((VLOOKUP(AD71,Formula!V:X,3,0)))-SUMIF(AD:AD,AD71,H:H)),2)))</f>
        <v>4.57</v>
      </c>
      <c r="H71" s="63">
        <v>7</v>
      </c>
      <c r="I71" s="63">
        <v>7</v>
      </c>
      <c r="J71" s="63" t="s">
        <v>203</v>
      </c>
      <c r="K71" s="31">
        <f>IF(E71="","",IF(OR(E71="Project Management",E71="Project Support",E71="Sprint Management",E71="Sprint Support"),"NA",(((SUMIF(AD:AD,AD71,H:H)/VLOOKUP(AD71,Formula!V:X,3,0))*VLOOKUP(AD71,Formula!V:X,2,0))*H71)/SUMIF(AD:AD,AD71,H:H)))</f>
        <v>0.98000303971166169</v>
      </c>
      <c r="L71" s="31">
        <f t="shared" si="0"/>
        <v>0.1400004342445231</v>
      </c>
      <c r="M71" s="31">
        <f t="shared" si="1"/>
        <v>0.1400004342445231</v>
      </c>
      <c r="N71" s="31">
        <f t="shared" si="2"/>
        <v>0</v>
      </c>
      <c r="O71" s="31">
        <f t="shared" si="3"/>
        <v>1</v>
      </c>
      <c r="P71" s="32">
        <f t="shared" si="4"/>
        <v>1</v>
      </c>
      <c r="AC71" s="35" t="str">
        <f>IF(B71="","",VLOOKUP(B71,Formula!B:C,2,0))</f>
        <v>Release_1</v>
      </c>
      <c r="AD71" s="36" t="str">
        <f t="shared" si="72"/>
        <v>JFM19_Jan_Sprint_Sprint rework</v>
      </c>
    </row>
    <row r="72" spans="1:30" ht="45" x14ac:dyDescent="0.25">
      <c r="A72" s="56">
        <v>80</v>
      </c>
      <c r="B72" s="56" t="s">
        <v>261</v>
      </c>
      <c r="C72" s="57">
        <v>43466</v>
      </c>
      <c r="D72" s="59" t="s">
        <v>340</v>
      </c>
      <c r="E72" s="56" t="s">
        <v>143</v>
      </c>
      <c r="F72" s="56" t="s">
        <v>278</v>
      </c>
      <c r="G72" s="30">
        <f>IF(E72="","",IF(OR(E72="Project Management",E72="Project Support",E72="Sprint Management",E72="Sprint Support"),"NA",ROUND((((VLOOKUP(AD72,Formula!V:X,3,0)))-SUMIF(AD:AD,AD72,H:H)),2)))</f>
        <v>4.57</v>
      </c>
      <c r="H72" s="63">
        <v>7</v>
      </c>
      <c r="I72" s="63">
        <v>7</v>
      </c>
      <c r="J72" s="63" t="s">
        <v>203</v>
      </c>
      <c r="K72" s="31">
        <f>IF(E72="","",IF(OR(E72="Project Management",E72="Project Support",E72="Sprint Management",E72="Sprint Support"),"NA",(((SUMIF(AD:AD,AD72,H:H)/VLOOKUP(AD72,Formula!V:X,3,0))*VLOOKUP(AD72,Formula!V:X,2,0))*H72)/SUMIF(AD:AD,AD72,H:H)))</f>
        <v>0.98000303971166169</v>
      </c>
      <c r="L72" s="31">
        <f t="shared" si="0"/>
        <v>0.1400004342445231</v>
      </c>
      <c r="M72" s="31">
        <f t="shared" si="1"/>
        <v>0.1400004342445231</v>
      </c>
      <c r="N72" s="31">
        <f t="shared" si="2"/>
        <v>0</v>
      </c>
      <c r="O72" s="31">
        <f t="shared" si="3"/>
        <v>1</v>
      </c>
      <c r="P72" s="32">
        <f t="shared" si="4"/>
        <v>1</v>
      </c>
      <c r="AC72" s="35" t="str">
        <f>IF(B72="","",VLOOKUP(B72,Formula!B:C,2,0))</f>
        <v>Release_1</v>
      </c>
      <c r="AD72" s="36" t="str">
        <f t="shared" si="72"/>
        <v>JFM19_Jan_Sprint_Sprint rework</v>
      </c>
    </row>
    <row r="73" spans="1:30" ht="45" x14ac:dyDescent="0.25">
      <c r="A73" s="56">
        <v>86</v>
      </c>
      <c r="B73" s="56" t="s">
        <v>261</v>
      </c>
      <c r="C73" s="57">
        <v>43466</v>
      </c>
      <c r="D73" s="59" t="s">
        <v>341</v>
      </c>
      <c r="E73" s="56" t="s">
        <v>143</v>
      </c>
      <c r="F73" s="56" t="s">
        <v>278</v>
      </c>
      <c r="G73" s="30">
        <f>IF(E73="","",IF(OR(E73="Project Management",E73="Project Support",E73="Sprint Management",E73="Sprint Support"),"NA",ROUND((((VLOOKUP(AD73,Formula!V:X,3,0)))-SUMIF(AD:AD,AD73,H:H)),2)))</f>
        <v>4.57</v>
      </c>
      <c r="H73" s="63">
        <v>7</v>
      </c>
      <c r="I73" s="63">
        <v>7</v>
      </c>
      <c r="J73" s="63" t="s">
        <v>203</v>
      </c>
      <c r="K73" s="31">
        <f>IF(E73="","",IF(OR(E73="Project Management",E73="Project Support",E73="Sprint Management",E73="Sprint Support"),"NA",(((SUMIF(AD:AD,AD73,H:H)/VLOOKUP(AD73,Formula!V:X,3,0))*VLOOKUP(AD73,Formula!V:X,2,0))*H73)/SUMIF(AD:AD,AD73,H:H)))</f>
        <v>0.98000303971166169</v>
      </c>
      <c r="L73" s="31">
        <f t="shared" si="0"/>
        <v>0.1400004342445231</v>
      </c>
      <c r="M73" s="31">
        <f t="shared" si="1"/>
        <v>0.1400004342445231</v>
      </c>
      <c r="N73" s="31">
        <f t="shared" si="2"/>
        <v>0</v>
      </c>
      <c r="O73" s="31">
        <f t="shared" si="3"/>
        <v>1</v>
      </c>
      <c r="P73" s="32">
        <f t="shared" si="4"/>
        <v>1</v>
      </c>
      <c r="AC73" s="35" t="str">
        <f>IF(B73="","",VLOOKUP(B73,Formula!B:C,2,0))</f>
        <v>Release_1</v>
      </c>
      <c r="AD73" s="36" t="str">
        <f t="shared" si="72"/>
        <v>JFM19_Jan_Sprint_Sprint rework</v>
      </c>
    </row>
    <row r="74" spans="1:30" ht="45" x14ac:dyDescent="0.25">
      <c r="A74" s="56">
        <v>94</v>
      </c>
      <c r="B74" s="56" t="s">
        <v>261</v>
      </c>
      <c r="C74" s="57">
        <v>43466</v>
      </c>
      <c r="D74" s="58" t="s">
        <v>342</v>
      </c>
      <c r="E74" s="56" t="s">
        <v>143</v>
      </c>
      <c r="F74" s="56" t="s">
        <v>274</v>
      </c>
      <c r="G74" s="30">
        <f>IF(E74="","",IF(OR(E74="Project Management",E74="Project Support",E74="Sprint Management",E74="Sprint Support"),"NA",ROUND((((VLOOKUP(AD74,Formula!V:X,3,0)))-SUMIF(AD:AD,AD74,H:H)),2)))</f>
        <v>4.57</v>
      </c>
      <c r="H74" s="63">
        <v>7</v>
      </c>
      <c r="I74" s="63">
        <v>7</v>
      </c>
      <c r="J74" s="63" t="s">
        <v>203</v>
      </c>
      <c r="K74" s="31">
        <f>IF(E74="","",IF(OR(E74="Project Management",E74="Project Support",E74="Sprint Management",E74="Sprint Support"),"NA",(((SUMIF(AD:AD,AD74,H:H)/VLOOKUP(AD74,Formula!V:X,3,0))*VLOOKUP(AD74,Formula!V:X,2,0))*H74)/SUMIF(AD:AD,AD74,H:H)))</f>
        <v>0.98000303971166169</v>
      </c>
      <c r="L74" s="31">
        <f t="shared" si="0"/>
        <v>0.1400004342445231</v>
      </c>
      <c r="M74" s="31">
        <f t="shared" si="1"/>
        <v>0.1400004342445231</v>
      </c>
      <c r="N74" s="31">
        <f t="shared" si="2"/>
        <v>0</v>
      </c>
      <c r="O74" s="31">
        <f t="shared" si="3"/>
        <v>1</v>
      </c>
      <c r="P74" s="32">
        <f t="shared" si="4"/>
        <v>1</v>
      </c>
      <c r="AC74" s="35" t="str">
        <f>IF(B74="","",VLOOKUP(B74,Formula!B:C,2,0))</f>
        <v>Release_1</v>
      </c>
      <c r="AD74" s="36" t="str">
        <f t="shared" si="72"/>
        <v>JFM19_Jan_Sprint_Sprint rework</v>
      </c>
    </row>
    <row r="75" spans="1:30" ht="30" x14ac:dyDescent="0.25">
      <c r="A75" s="56">
        <v>2</v>
      </c>
      <c r="B75" s="56" t="s">
        <v>261</v>
      </c>
      <c r="C75" s="57">
        <v>43466</v>
      </c>
      <c r="D75" s="59" t="s">
        <v>343</v>
      </c>
      <c r="E75" s="56" t="s">
        <v>143</v>
      </c>
      <c r="F75" s="56" t="s">
        <v>274</v>
      </c>
      <c r="G75" s="30">
        <f>IF(E75="","",IF(OR(E75="Project Management",E75="Project Support",E75="Sprint Management",E75="Sprint Support"),"NA",ROUND((((VLOOKUP(AD75,Formula!V:X,3,0)))-SUMIF(AD:AD,AD75,H:H)),2)))</f>
        <v>4.57</v>
      </c>
      <c r="H75" s="63">
        <v>9</v>
      </c>
      <c r="I75" s="63">
        <v>9</v>
      </c>
      <c r="J75" s="63" t="s">
        <v>203</v>
      </c>
      <c r="K75" s="31">
        <f>IF(E75="","",IF(OR(E75="Project Management",E75="Project Support",E75="Sprint Management",E75="Sprint Support"),"NA",(((SUMIF(AD:AD,AD75,H:H)/VLOOKUP(AD75,Formula!V:X,3,0))*VLOOKUP(AD75,Formula!V:X,2,0))*H75)/SUMIF(AD:AD,AD75,H:H)))</f>
        <v>1.260003908200708</v>
      </c>
      <c r="L75" s="31">
        <f t="shared" si="0"/>
        <v>0.1400004342445231</v>
      </c>
      <c r="M75" s="31">
        <f t="shared" si="1"/>
        <v>0.1400004342445231</v>
      </c>
      <c r="N75" s="31">
        <f t="shared" si="2"/>
        <v>0</v>
      </c>
      <c r="O75" s="31">
        <f t="shared" si="3"/>
        <v>1</v>
      </c>
      <c r="P75" s="32">
        <f t="shared" si="4"/>
        <v>1</v>
      </c>
      <c r="AC75" s="35" t="str">
        <f>IF(B75="","",VLOOKUP(B75,Formula!B:C,2,0))</f>
        <v>Release_1</v>
      </c>
      <c r="AD75" s="36" t="str">
        <f t="shared" si="72"/>
        <v>JFM19_Jan_Sprint_Sprint rework</v>
      </c>
    </row>
    <row r="76" spans="1:30" ht="30" x14ac:dyDescent="0.25">
      <c r="A76" s="56">
        <v>13</v>
      </c>
      <c r="B76" s="56" t="s">
        <v>261</v>
      </c>
      <c r="C76" s="57">
        <v>43466</v>
      </c>
      <c r="D76" s="59" t="s">
        <v>344</v>
      </c>
      <c r="E76" s="56" t="s">
        <v>143</v>
      </c>
      <c r="F76" s="56" t="s">
        <v>274</v>
      </c>
      <c r="G76" s="30">
        <f>IF(E76="","",IF(OR(E76="Project Management",E76="Project Support",E76="Sprint Management",E76="Sprint Support"),"NA",ROUND((((VLOOKUP(AD76,Formula!V:X,3,0)))-SUMIF(AD:AD,AD76,H:H)),2)))</f>
        <v>4.57</v>
      </c>
      <c r="H76" s="63">
        <v>9</v>
      </c>
      <c r="I76" s="63">
        <v>9</v>
      </c>
      <c r="J76" s="63" t="s">
        <v>203</v>
      </c>
      <c r="K76" s="31">
        <f>IF(E76="","",IF(OR(E76="Project Management",E76="Project Support",E76="Sprint Management",E76="Sprint Support"),"NA",(((SUMIF(AD:AD,AD76,H:H)/VLOOKUP(AD76,Formula!V:X,3,0))*VLOOKUP(AD76,Formula!V:X,2,0))*H76)/SUMIF(AD:AD,AD76,H:H)))</f>
        <v>1.260003908200708</v>
      </c>
      <c r="L76" s="31">
        <f t="shared" si="0"/>
        <v>0.1400004342445231</v>
      </c>
      <c r="M76" s="31">
        <f t="shared" si="1"/>
        <v>0.1400004342445231</v>
      </c>
      <c r="N76" s="31">
        <f t="shared" si="2"/>
        <v>0</v>
      </c>
      <c r="O76" s="31">
        <f t="shared" si="3"/>
        <v>1</v>
      </c>
      <c r="P76" s="32">
        <f t="shared" si="4"/>
        <v>1</v>
      </c>
      <c r="AC76" s="35" t="str">
        <f>IF(B76="","",VLOOKUP(B76,Formula!B:C,2,0))</f>
        <v>Release_1</v>
      </c>
      <c r="AD76" s="36" t="str">
        <f t="shared" si="72"/>
        <v>JFM19_Jan_Sprint_Sprint rework</v>
      </c>
    </row>
    <row r="77" spans="1:30" ht="30" x14ac:dyDescent="0.25">
      <c r="A77" s="56">
        <v>20</v>
      </c>
      <c r="B77" s="56" t="s">
        <v>261</v>
      </c>
      <c r="C77" s="57">
        <v>43466</v>
      </c>
      <c r="D77" s="58" t="s">
        <v>345</v>
      </c>
      <c r="E77" s="56" t="s">
        <v>143</v>
      </c>
      <c r="F77" s="56" t="s">
        <v>274</v>
      </c>
      <c r="G77" s="30">
        <f>IF(E77="","",IF(OR(E77="Project Management",E77="Project Support",E77="Sprint Management",E77="Sprint Support"),"NA",ROUND((((VLOOKUP(AD77,Formula!V:X,3,0)))-SUMIF(AD:AD,AD77,H:H)),2)))</f>
        <v>4.57</v>
      </c>
      <c r="H77" s="63">
        <v>9</v>
      </c>
      <c r="I77" s="63">
        <v>9</v>
      </c>
      <c r="J77" s="63" t="s">
        <v>203</v>
      </c>
      <c r="K77" s="31">
        <f>IF(E77="","",IF(OR(E77="Project Management",E77="Project Support",E77="Sprint Management",E77="Sprint Support"),"NA",(((SUMIF(AD:AD,AD77,H:H)/VLOOKUP(AD77,Formula!V:X,3,0))*VLOOKUP(AD77,Formula!V:X,2,0))*H77)/SUMIF(AD:AD,AD77,H:H)))</f>
        <v>1.260003908200708</v>
      </c>
      <c r="L77" s="31">
        <f t="shared" si="0"/>
        <v>0.1400004342445231</v>
      </c>
      <c r="M77" s="31">
        <f t="shared" si="1"/>
        <v>0.1400004342445231</v>
      </c>
      <c r="N77" s="31">
        <f t="shared" si="2"/>
        <v>0</v>
      </c>
      <c r="O77" s="31">
        <f t="shared" si="3"/>
        <v>1</v>
      </c>
      <c r="P77" s="32">
        <f t="shared" si="4"/>
        <v>1</v>
      </c>
      <c r="AC77" s="35" t="str">
        <f>IF(B77="","",VLOOKUP(B77,Formula!B:C,2,0))</f>
        <v>Release_1</v>
      </c>
      <c r="AD77" s="36" t="str">
        <f t="shared" si="72"/>
        <v>JFM19_Jan_Sprint_Sprint rework</v>
      </c>
    </row>
    <row r="78" spans="1:30" ht="45" x14ac:dyDescent="0.25">
      <c r="A78" s="56">
        <v>29</v>
      </c>
      <c r="B78" s="56" t="s">
        <v>261</v>
      </c>
      <c r="C78" s="57">
        <v>43466</v>
      </c>
      <c r="D78" s="59" t="s">
        <v>346</v>
      </c>
      <c r="E78" s="56" t="s">
        <v>143</v>
      </c>
      <c r="F78" s="56" t="s">
        <v>274</v>
      </c>
      <c r="G78" s="30">
        <f>IF(E78="","",IF(OR(E78="Project Management",E78="Project Support",E78="Sprint Management",E78="Sprint Support"),"NA",ROUND((((VLOOKUP(AD78,Formula!V:X,3,0)))-SUMIF(AD:AD,AD78,H:H)),2)))</f>
        <v>4.57</v>
      </c>
      <c r="H78" s="63">
        <v>9</v>
      </c>
      <c r="I78" s="63">
        <v>9</v>
      </c>
      <c r="J78" s="63" t="s">
        <v>203</v>
      </c>
      <c r="K78" s="31">
        <f>IF(E78="","",IF(OR(E78="Project Management",E78="Project Support",E78="Sprint Management",E78="Sprint Support"),"NA",(((SUMIF(AD:AD,AD78,H:H)/VLOOKUP(AD78,Formula!V:X,3,0))*VLOOKUP(AD78,Formula!V:X,2,0))*H78)/SUMIF(AD:AD,AD78,H:H)))</f>
        <v>1.260003908200708</v>
      </c>
      <c r="L78" s="31">
        <f t="shared" si="0"/>
        <v>0.1400004342445231</v>
      </c>
      <c r="M78" s="31">
        <f t="shared" si="1"/>
        <v>0.1400004342445231</v>
      </c>
      <c r="N78" s="31">
        <f t="shared" si="2"/>
        <v>0</v>
      </c>
      <c r="O78" s="31">
        <f t="shared" si="3"/>
        <v>1</v>
      </c>
      <c r="P78" s="32">
        <f t="shared" si="4"/>
        <v>1</v>
      </c>
      <c r="AC78" s="35" t="str">
        <f>IF(B78="","",VLOOKUP(B78,Formula!B:C,2,0))</f>
        <v>Release_1</v>
      </c>
      <c r="AD78" s="36" t="str">
        <f t="shared" si="72"/>
        <v>JFM19_Jan_Sprint_Sprint rework</v>
      </c>
    </row>
    <row r="79" spans="1:30" ht="45" x14ac:dyDescent="0.25">
      <c r="A79" s="56">
        <v>43</v>
      </c>
      <c r="B79" s="56" t="s">
        <v>261</v>
      </c>
      <c r="C79" s="57">
        <v>43466</v>
      </c>
      <c r="D79" s="59" t="s">
        <v>347</v>
      </c>
      <c r="E79" s="56" t="s">
        <v>143</v>
      </c>
      <c r="F79" s="56" t="s">
        <v>274</v>
      </c>
      <c r="G79" s="30">
        <f>IF(E79="","",IF(OR(E79="Project Management",E79="Project Support",E79="Sprint Management",E79="Sprint Support"),"NA",ROUND((((VLOOKUP(AD79,Formula!V:X,3,0)))-SUMIF(AD:AD,AD79,H:H)),2)))</f>
        <v>4.57</v>
      </c>
      <c r="H79" s="63">
        <v>9</v>
      </c>
      <c r="I79" s="63">
        <v>9</v>
      </c>
      <c r="J79" s="63" t="s">
        <v>203</v>
      </c>
      <c r="K79" s="31">
        <f>IF(E79="","",IF(OR(E79="Project Management",E79="Project Support",E79="Sprint Management",E79="Sprint Support"),"NA",(((SUMIF(AD:AD,AD79,H:H)/VLOOKUP(AD79,Formula!V:X,3,0))*VLOOKUP(AD79,Formula!V:X,2,0))*H79)/SUMIF(AD:AD,AD79,H:H)))</f>
        <v>1.260003908200708</v>
      </c>
      <c r="L79" s="31">
        <f t="shared" si="0"/>
        <v>0.1400004342445231</v>
      </c>
      <c r="M79" s="31">
        <f t="shared" si="1"/>
        <v>0.1400004342445231</v>
      </c>
      <c r="N79" s="31">
        <f t="shared" si="2"/>
        <v>0</v>
      </c>
      <c r="O79" s="31">
        <f t="shared" si="3"/>
        <v>1</v>
      </c>
      <c r="P79" s="32">
        <f t="shared" si="4"/>
        <v>1</v>
      </c>
      <c r="AC79" s="35" t="str">
        <f>IF(B79="","",VLOOKUP(B79,Formula!B:C,2,0))</f>
        <v>Release_1</v>
      </c>
      <c r="AD79" s="36" t="str">
        <f t="shared" si="72"/>
        <v>JFM19_Jan_Sprint_Sprint rework</v>
      </c>
    </row>
    <row r="80" spans="1:30" ht="45" x14ac:dyDescent="0.25">
      <c r="A80" s="56">
        <v>44</v>
      </c>
      <c r="B80" s="56" t="s">
        <v>261</v>
      </c>
      <c r="C80" s="57">
        <v>43466</v>
      </c>
      <c r="D80" s="58" t="s">
        <v>348</v>
      </c>
      <c r="E80" s="56" t="s">
        <v>143</v>
      </c>
      <c r="F80" s="56" t="s">
        <v>274</v>
      </c>
      <c r="G80" s="30">
        <f>IF(E80="","",IF(OR(E80="Project Management",E80="Project Support",E80="Sprint Management",E80="Sprint Support"),"NA",ROUND((((VLOOKUP(AD80,Formula!V:X,3,0)))-SUMIF(AD:AD,AD80,H:H)),2)))</f>
        <v>4.57</v>
      </c>
      <c r="H80" s="63">
        <v>9</v>
      </c>
      <c r="I80" s="63">
        <v>9</v>
      </c>
      <c r="J80" s="63" t="s">
        <v>203</v>
      </c>
      <c r="K80" s="31">
        <f>IF(E80="","",IF(OR(E80="Project Management",E80="Project Support",E80="Sprint Management",E80="Sprint Support"),"NA",(((SUMIF(AD:AD,AD80,H:H)/VLOOKUP(AD80,Formula!V:X,3,0))*VLOOKUP(AD80,Formula!V:X,2,0))*H80)/SUMIF(AD:AD,AD80,H:H)))</f>
        <v>1.260003908200708</v>
      </c>
      <c r="L80" s="31">
        <f t="shared" si="0"/>
        <v>0.1400004342445231</v>
      </c>
      <c r="M80" s="31">
        <f t="shared" si="1"/>
        <v>0.1400004342445231</v>
      </c>
      <c r="N80" s="31">
        <f t="shared" si="2"/>
        <v>0</v>
      </c>
      <c r="O80" s="31">
        <f t="shared" si="3"/>
        <v>1</v>
      </c>
      <c r="P80" s="32">
        <f t="shared" si="4"/>
        <v>1</v>
      </c>
      <c r="AC80" s="35" t="str">
        <f>IF(B80="","",VLOOKUP(B80,Formula!B:C,2,0))</f>
        <v>Release_1</v>
      </c>
      <c r="AD80" s="36" t="str">
        <f t="shared" si="72"/>
        <v>JFM19_Jan_Sprint_Sprint rework</v>
      </c>
    </row>
    <row r="81" spans="1:30" ht="45" x14ac:dyDescent="0.25">
      <c r="A81" s="56">
        <v>77</v>
      </c>
      <c r="B81" s="56" t="s">
        <v>261</v>
      </c>
      <c r="C81" s="57">
        <v>43466</v>
      </c>
      <c r="D81" s="59" t="s">
        <v>349</v>
      </c>
      <c r="E81" s="56" t="s">
        <v>143</v>
      </c>
      <c r="F81" s="56" t="s">
        <v>255</v>
      </c>
      <c r="G81" s="30">
        <f>IF(E81="","",IF(OR(E81="Project Management",E81="Project Support",E81="Sprint Management",E81="Sprint Support"),"NA",ROUND((((VLOOKUP(AD81,Formula!V:X,3,0)))-SUMIF(AD:AD,AD81,H:H)),2)))</f>
        <v>4.57</v>
      </c>
      <c r="H81" s="63">
        <v>9</v>
      </c>
      <c r="I81" s="63">
        <v>9</v>
      </c>
      <c r="J81" s="63" t="s">
        <v>203</v>
      </c>
      <c r="K81" s="31">
        <f>IF(E81="","",IF(OR(E81="Project Management",E81="Project Support",E81="Sprint Management",E81="Sprint Support"),"NA",(((SUMIF(AD:AD,AD81,H:H)/VLOOKUP(AD81,Formula!V:X,3,0))*VLOOKUP(AD81,Formula!V:X,2,0))*H81)/SUMIF(AD:AD,AD81,H:H)))</f>
        <v>1.260003908200708</v>
      </c>
      <c r="L81" s="31">
        <f t="shared" si="0"/>
        <v>0.1400004342445231</v>
      </c>
      <c r="M81" s="31">
        <f t="shared" si="1"/>
        <v>0.1400004342445231</v>
      </c>
      <c r="N81" s="31">
        <f t="shared" si="2"/>
        <v>0</v>
      </c>
      <c r="O81" s="31">
        <f t="shared" si="3"/>
        <v>1</v>
      </c>
      <c r="P81" s="32">
        <f t="shared" si="4"/>
        <v>1</v>
      </c>
      <c r="AC81" s="35" t="str">
        <f>IF(B81="","",VLOOKUP(B81,Formula!B:C,2,0))</f>
        <v>Release_1</v>
      </c>
      <c r="AD81" s="36" t="str">
        <f t="shared" si="72"/>
        <v>JFM19_Jan_Sprint_Sprint rework</v>
      </c>
    </row>
    <row r="82" spans="1:30" ht="45" x14ac:dyDescent="0.25">
      <c r="A82" s="56">
        <v>90</v>
      </c>
      <c r="B82" s="56" t="s">
        <v>261</v>
      </c>
      <c r="C82" s="57">
        <v>43466</v>
      </c>
      <c r="D82" s="58" t="s">
        <v>350</v>
      </c>
      <c r="E82" s="56" t="s">
        <v>143</v>
      </c>
      <c r="F82" s="56" t="s">
        <v>255</v>
      </c>
      <c r="G82" s="30">
        <f>IF(E82="","",IF(OR(E82="Project Management",E82="Project Support",E82="Sprint Management",E82="Sprint Support"),"NA",ROUND((((VLOOKUP(AD82,Formula!V:X,3,0)))-SUMIF(AD:AD,AD82,H:H)),2)))</f>
        <v>4.57</v>
      </c>
      <c r="H82" s="63">
        <v>9</v>
      </c>
      <c r="I82" s="63">
        <v>9</v>
      </c>
      <c r="J82" s="63" t="s">
        <v>203</v>
      </c>
      <c r="K82" s="31">
        <f>IF(E82="","",IF(OR(E82="Project Management",E82="Project Support",E82="Sprint Management",E82="Sprint Support"),"NA",(((SUMIF(AD:AD,AD82,H:H)/VLOOKUP(AD82,Formula!V:X,3,0))*VLOOKUP(AD82,Formula!V:X,2,0))*H82)/SUMIF(AD:AD,AD82,H:H)))</f>
        <v>1.260003908200708</v>
      </c>
      <c r="L82" s="31">
        <f t="shared" si="0"/>
        <v>0.1400004342445231</v>
      </c>
      <c r="M82" s="31">
        <f t="shared" si="1"/>
        <v>0.1400004342445231</v>
      </c>
      <c r="N82" s="31">
        <f t="shared" si="2"/>
        <v>0</v>
      </c>
      <c r="O82" s="31">
        <f t="shared" si="3"/>
        <v>1</v>
      </c>
      <c r="P82" s="32">
        <f t="shared" si="4"/>
        <v>1</v>
      </c>
      <c r="AC82" s="35" t="str">
        <f>IF(B82="","",VLOOKUP(B82,Formula!B:C,2,0))</f>
        <v>Release_1</v>
      </c>
      <c r="AD82" s="36" t="str">
        <f t="shared" si="72"/>
        <v>JFM19_Jan_Sprint_Sprint rework</v>
      </c>
    </row>
    <row r="83" spans="1:30" ht="45" x14ac:dyDescent="0.25">
      <c r="A83" s="56">
        <v>76</v>
      </c>
      <c r="B83" s="56" t="s">
        <v>261</v>
      </c>
      <c r="C83" s="57">
        <v>43466</v>
      </c>
      <c r="D83" s="59" t="s">
        <v>351</v>
      </c>
      <c r="E83" s="56" t="s">
        <v>143</v>
      </c>
      <c r="F83" s="56" t="s">
        <v>255</v>
      </c>
      <c r="G83" s="30">
        <f>IF(E83="","",IF(OR(E83="Project Management",E83="Project Support",E83="Sprint Management",E83="Sprint Support"),"NA",ROUND((((VLOOKUP(AD83,Formula!V:X,3,0)))-SUMIF(AD:AD,AD83,H:H)),2)))</f>
        <v>4.57</v>
      </c>
      <c r="H83" s="63">
        <v>9</v>
      </c>
      <c r="I83" s="63">
        <v>9</v>
      </c>
      <c r="J83" s="63" t="s">
        <v>203</v>
      </c>
      <c r="K83" s="31">
        <f>IF(E83="","",IF(OR(E83="Project Management",E83="Project Support",E83="Sprint Management",E83="Sprint Support"),"NA",(((SUMIF(AD:AD,AD83,H:H)/VLOOKUP(AD83,Formula!V:X,3,0))*VLOOKUP(AD83,Formula!V:X,2,0))*H83)/SUMIF(AD:AD,AD83,H:H)))</f>
        <v>1.260003908200708</v>
      </c>
      <c r="L83" s="31">
        <f t="shared" si="0"/>
        <v>0.1400004342445231</v>
      </c>
      <c r="M83" s="31">
        <f t="shared" si="1"/>
        <v>0.1400004342445231</v>
      </c>
      <c r="N83" s="31">
        <f t="shared" si="2"/>
        <v>0</v>
      </c>
      <c r="O83" s="31">
        <f t="shared" si="3"/>
        <v>1</v>
      </c>
      <c r="P83" s="32">
        <f t="shared" si="4"/>
        <v>1</v>
      </c>
      <c r="AC83" s="35" t="str">
        <f>IF(B83="","",VLOOKUP(B83,Formula!B:C,2,0))</f>
        <v>Release_1</v>
      </c>
      <c r="AD83" s="36" t="str">
        <f t="shared" si="72"/>
        <v>JFM19_Jan_Sprint_Sprint rework</v>
      </c>
    </row>
    <row r="84" spans="1:30" ht="45" x14ac:dyDescent="0.25">
      <c r="A84" s="56">
        <v>89</v>
      </c>
      <c r="B84" s="56" t="s">
        <v>261</v>
      </c>
      <c r="C84" s="57">
        <v>43466</v>
      </c>
      <c r="D84" s="58" t="s">
        <v>352</v>
      </c>
      <c r="E84" s="56" t="s">
        <v>143</v>
      </c>
      <c r="F84" s="56" t="s">
        <v>255</v>
      </c>
      <c r="G84" s="30">
        <f>IF(E84="","",IF(OR(E84="Project Management",E84="Project Support",E84="Sprint Management",E84="Sprint Support"),"NA",ROUND((((VLOOKUP(AD84,Formula!V:X,3,0)))-SUMIF(AD:AD,AD84,H:H)),2)))</f>
        <v>4.57</v>
      </c>
      <c r="H84" s="63">
        <v>9</v>
      </c>
      <c r="I84" s="63">
        <v>9</v>
      </c>
      <c r="J84" s="63" t="s">
        <v>203</v>
      </c>
      <c r="K84" s="31">
        <f>IF(E84="","",IF(OR(E84="Project Management",E84="Project Support",E84="Sprint Management",E84="Sprint Support"),"NA",(((SUMIF(AD:AD,AD84,H:H)/VLOOKUP(AD84,Formula!V:X,3,0))*VLOOKUP(AD84,Formula!V:X,2,0))*H84)/SUMIF(AD:AD,AD84,H:H)))</f>
        <v>1.260003908200708</v>
      </c>
      <c r="L84" s="31">
        <f t="shared" si="0"/>
        <v>0.1400004342445231</v>
      </c>
      <c r="M84" s="31">
        <f t="shared" si="1"/>
        <v>0.1400004342445231</v>
      </c>
      <c r="N84" s="31">
        <f t="shared" si="2"/>
        <v>0</v>
      </c>
      <c r="O84" s="31">
        <f t="shared" si="3"/>
        <v>1</v>
      </c>
      <c r="P84" s="32">
        <f t="shared" si="4"/>
        <v>1</v>
      </c>
      <c r="AC84" s="35" t="str">
        <f>IF(B84="","",VLOOKUP(B84,Formula!B:C,2,0))</f>
        <v>Release_1</v>
      </c>
      <c r="AD84" s="36" t="str">
        <f t="shared" si="72"/>
        <v>JFM19_Jan_Sprint_Sprint rework</v>
      </c>
    </row>
    <row r="85" spans="1:30" ht="45" x14ac:dyDescent="0.25">
      <c r="A85" s="56">
        <v>82</v>
      </c>
      <c r="B85" s="56" t="s">
        <v>261</v>
      </c>
      <c r="C85" s="57">
        <v>43466</v>
      </c>
      <c r="D85" s="59" t="s">
        <v>353</v>
      </c>
      <c r="E85" s="56" t="s">
        <v>143</v>
      </c>
      <c r="F85" s="56" t="s">
        <v>255</v>
      </c>
      <c r="G85" s="30">
        <f>IF(E85="","",IF(OR(E85="Project Management",E85="Project Support",E85="Sprint Management",E85="Sprint Support"),"NA",ROUND((((VLOOKUP(AD85,Formula!V:X,3,0)))-SUMIF(AD:AD,AD85,H:H)),2)))</f>
        <v>4.57</v>
      </c>
      <c r="H85" s="63">
        <v>9</v>
      </c>
      <c r="I85" s="63">
        <v>9</v>
      </c>
      <c r="J85" s="63" t="s">
        <v>203</v>
      </c>
      <c r="K85" s="31">
        <f>IF(E85="","",IF(OR(E85="Project Management",E85="Project Support",E85="Sprint Management",E85="Sprint Support"),"NA",(((SUMIF(AD:AD,AD85,H:H)/VLOOKUP(AD85,Formula!V:X,3,0))*VLOOKUP(AD85,Formula!V:X,2,0))*H85)/SUMIF(AD:AD,AD85,H:H)))</f>
        <v>1.260003908200708</v>
      </c>
      <c r="L85" s="31">
        <f t="shared" si="0"/>
        <v>0.1400004342445231</v>
      </c>
      <c r="M85" s="31">
        <f t="shared" si="1"/>
        <v>0.1400004342445231</v>
      </c>
      <c r="N85" s="31">
        <f t="shared" si="2"/>
        <v>0</v>
      </c>
      <c r="O85" s="31">
        <f t="shared" si="3"/>
        <v>1</v>
      </c>
      <c r="P85" s="32">
        <f t="shared" si="4"/>
        <v>1</v>
      </c>
      <c r="AC85" s="35" t="str">
        <f>IF(B85="","",VLOOKUP(B85,Formula!B:C,2,0))</f>
        <v>Release_1</v>
      </c>
      <c r="AD85" s="36" t="str">
        <f t="shared" si="72"/>
        <v>JFM19_Jan_Sprint_Sprint rework</v>
      </c>
    </row>
    <row r="86" spans="1:30" ht="30" x14ac:dyDescent="0.25">
      <c r="A86" s="56">
        <v>95</v>
      </c>
      <c r="B86" s="56" t="s">
        <v>261</v>
      </c>
      <c r="C86" s="57">
        <v>43466</v>
      </c>
      <c r="D86" s="59" t="s">
        <v>354</v>
      </c>
      <c r="E86" s="56" t="s">
        <v>143</v>
      </c>
      <c r="F86" s="56" t="s">
        <v>255</v>
      </c>
      <c r="G86" s="30">
        <f>IF(E86="","",IF(OR(E86="Project Management",E86="Project Support",E86="Sprint Management",E86="Sprint Support"),"NA",ROUND((((VLOOKUP(AD86,Formula!V:X,3,0)))-SUMIF(AD:AD,AD86,H:H)),2)))</f>
        <v>4.57</v>
      </c>
      <c r="H86" s="63">
        <v>9</v>
      </c>
      <c r="I86" s="63">
        <v>9</v>
      </c>
      <c r="J86" s="63" t="s">
        <v>203</v>
      </c>
      <c r="K86" s="31">
        <f>IF(E86="","",IF(OR(E86="Project Management",E86="Project Support",E86="Sprint Management",E86="Sprint Support"),"NA",(((SUMIF(AD:AD,AD86,H:H)/VLOOKUP(AD86,Formula!V:X,3,0))*VLOOKUP(AD86,Formula!V:X,2,0))*H86)/SUMIF(AD:AD,AD86,H:H)))</f>
        <v>1.260003908200708</v>
      </c>
      <c r="L86" s="31">
        <f t="shared" si="0"/>
        <v>0.1400004342445231</v>
      </c>
      <c r="M86" s="31">
        <f t="shared" si="1"/>
        <v>0.1400004342445231</v>
      </c>
      <c r="N86" s="31">
        <f t="shared" si="2"/>
        <v>0</v>
      </c>
      <c r="O86" s="31">
        <f t="shared" si="3"/>
        <v>1</v>
      </c>
      <c r="P86" s="32">
        <f t="shared" si="4"/>
        <v>1</v>
      </c>
      <c r="AC86" s="35" t="str">
        <f>IF(B86="","",VLOOKUP(B86,Formula!B:C,2,0))</f>
        <v>Release_1</v>
      </c>
      <c r="AD86" s="36" t="str">
        <f t="shared" ref="AD86:AD113" si="73">IF(B86="","",CONCATENATE(B86,"_",E86))</f>
        <v>JFM19_Jan_Sprint_Sprint rework</v>
      </c>
    </row>
    <row r="87" spans="1:30" ht="45" x14ac:dyDescent="0.25">
      <c r="A87" s="56">
        <v>92</v>
      </c>
      <c r="B87" s="56" t="s">
        <v>261</v>
      </c>
      <c r="C87" s="57">
        <v>43466</v>
      </c>
      <c r="D87" s="59" t="s">
        <v>355</v>
      </c>
      <c r="E87" s="56" t="s">
        <v>143</v>
      </c>
      <c r="F87" s="56" t="s">
        <v>252</v>
      </c>
      <c r="G87" s="30">
        <f>IF(E87="","",IF(OR(E87="Project Management",E87="Project Support",E87="Sprint Management",E87="Sprint Support"),"NA",ROUND((((VLOOKUP(AD87,Formula!V:X,3,0)))-SUMIF(AD:AD,AD87,H:H)),2)))</f>
        <v>4.57</v>
      </c>
      <c r="H87" s="63">
        <v>7</v>
      </c>
      <c r="I87" s="63">
        <v>7</v>
      </c>
      <c r="J87" s="63" t="s">
        <v>203</v>
      </c>
      <c r="K87" s="31">
        <f>IF(E87="","",IF(OR(E87="Project Management",E87="Project Support",E87="Sprint Management",E87="Sprint Support"),"NA",(((SUMIF(AD:AD,AD87,H:H)/VLOOKUP(AD87,Formula!V:X,3,0))*VLOOKUP(AD87,Formula!V:X,2,0))*H87)/SUMIF(AD:AD,AD87,H:H)))</f>
        <v>0.98000303971166169</v>
      </c>
      <c r="L87" s="31">
        <f t="shared" ref="L87:L113" si="74">IFERROR(IF(K87="NA",(H87/I87),(K87/I87)),"")</f>
        <v>0.1400004342445231</v>
      </c>
      <c r="M87" s="31">
        <f t="shared" ref="M87:M113" si="75">IFERROR(IF(K87="NA",1,(K87/H87)),"")</f>
        <v>0.1400004342445231</v>
      </c>
      <c r="N87" s="31">
        <f t="shared" ref="N87:N113" si="76">IFERROR(((L87-M87)/M87)*100,"")</f>
        <v>0</v>
      </c>
      <c r="O87" s="31">
        <f t="shared" ref="O87:O113" si="77">IFERROR(L87/M87,"")</f>
        <v>1</v>
      </c>
      <c r="P87" s="32">
        <f t="shared" ref="P87:P113" si="78">IF(O87="","",1)</f>
        <v>1</v>
      </c>
      <c r="AC87" s="35" t="str">
        <f>IF(B87="","",VLOOKUP(B87,Formula!B:C,2,0))</f>
        <v>Release_1</v>
      </c>
      <c r="AD87" s="36" t="str">
        <f t="shared" si="73"/>
        <v>JFM19_Jan_Sprint_Sprint rework</v>
      </c>
    </row>
    <row r="88" spans="1:30" ht="45" x14ac:dyDescent="0.25">
      <c r="A88" s="56">
        <v>96</v>
      </c>
      <c r="B88" s="56" t="s">
        <v>261</v>
      </c>
      <c r="C88" s="57">
        <v>43466</v>
      </c>
      <c r="D88" s="58" t="s">
        <v>356</v>
      </c>
      <c r="E88" s="56" t="s">
        <v>143</v>
      </c>
      <c r="F88" s="56" t="s">
        <v>252</v>
      </c>
      <c r="G88" s="30">
        <f>IF(E88="","",IF(OR(E88="Project Management",E88="Project Support",E88="Sprint Management",E88="Sprint Support"),"NA",ROUND((((VLOOKUP(AD88,Formula!V:X,3,0)))-SUMIF(AD:AD,AD88,H:H)),2)))</f>
        <v>4.57</v>
      </c>
      <c r="H88" s="63">
        <v>7</v>
      </c>
      <c r="I88" s="63">
        <v>7</v>
      </c>
      <c r="J88" s="63" t="s">
        <v>203</v>
      </c>
      <c r="K88" s="31">
        <f>IF(E88="","",IF(OR(E88="Project Management",E88="Project Support",E88="Sprint Management",E88="Sprint Support"),"NA",(((SUMIF(AD:AD,AD88,H:H)/VLOOKUP(AD88,Formula!V:X,3,0))*VLOOKUP(AD88,Formula!V:X,2,0))*H88)/SUMIF(AD:AD,AD88,H:H)))</f>
        <v>0.98000303971166169</v>
      </c>
      <c r="L88" s="31">
        <f t="shared" si="74"/>
        <v>0.1400004342445231</v>
      </c>
      <c r="M88" s="31">
        <f t="shared" si="75"/>
        <v>0.1400004342445231</v>
      </c>
      <c r="N88" s="31">
        <f t="shared" si="76"/>
        <v>0</v>
      </c>
      <c r="O88" s="31">
        <f t="shared" si="77"/>
        <v>1</v>
      </c>
      <c r="P88" s="32">
        <f t="shared" si="78"/>
        <v>1</v>
      </c>
      <c r="AC88" s="35" t="str">
        <f>IF(B88="","",VLOOKUP(B88,Formula!B:C,2,0))</f>
        <v>Release_1</v>
      </c>
      <c r="AD88" s="36" t="str">
        <f t="shared" si="73"/>
        <v>JFM19_Jan_Sprint_Sprint rework</v>
      </c>
    </row>
    <row r="89" spans="1:30" ht="45" x14ac:dyDescent="0.25">
      <c r="A89" s="56">
        <v>75</v>
      </c>
      <c r="B89" s="56" t="s">
        <v>261</v>
      </c>
      <c r="C89" s="57">
        <v>43466</v>
      </c>
      <c r="D89" s="59" t="s">
        <v>357</v>
      </c>
      <c r="E89" s="56" t="s">
        <v>143</v>
      </c>
      <c r="F89" s="56" t="s">
        <v>252</v>
      </c>
      <c r="G89" s="30">
        <f>IF(E89="","",IF(OR(E89="Project Management",E89="Project Support",E89="Sprint Management",E89="Sprint Support"),"NA",ROUND((((VLOOKUP(AD89,Formula!V:X,3,0)))-SUMIF(AD:AD,AD89,H:H)),2)))</f>
        <v>4.57</v>
      </c>
      <c r="H89" s="63">
        <v>7</v>
      </c>
      <c r="I89" s="63">
        <v>7</v>
      </c>
      <c r="J89" s="63" t="s">
        <v>203</v>
      </c>
      <c r="K89" s="31">
        <f>IF(E89="","",IF(OR(E89="Project Management",E89="Project Support",E89="Sprint Management",E89="Sprint Support"),"NA",(((SUMIF(AD:AD,AD89,H:H)/VLOOKUP(AD89,Formula!V:X,3,0))*VLOOKUP(AD89,Formula!V:X,2,0))*H89)/SUMIF(AD:AD,AD89,H:H)))</f>
        <v>0.98000303971166169</v>
      </c>
      <c r="L89" s="31">
        <f t="shared" si="74"/>
        <v>0.1400004342445231</v>
      </c>
      <c r="M89" s="31">
        <f t="shared" si="75"/>
        <v>0.1400004342445231</v>
      </c>
      <c r="N89" s="31">
        <f t="shared" si="76"/>
        <v>0</v>
      </c>
      <c r="O89" s="31">
        <f t="shared" si="77"/>
        <v>1</v>
      </c>
      <c r="P89" s="32">
        <f t="shared" si="78"/>
        <v>1</v>
      </c>
      <c r="AC89" s="35" t="str">
        <f>IF(B89="","",VLOOKUP(B89,Formula!B:C,2,0))</f>
        <v>Release_1</v>
      </c>
      <c r="AD89" s="36" t="str">
        <f t="shared" si="73"/>
        <v>JFM19_Jan_Sprint_Sprint rework</v>
      </c>
    </row>
    <row r="90" spans="1:30" ht="45" x14ac:dyDescent="0.25">
      <c r="A90" s="56">
        <v>88</v>
      </c>
      <c r="B90" s="56" t="s">
        <v>261</v>
      </c>
      <c r="C90" s="57">
        <v>43466</v>
      </c>
      <c r="D90" s="58" t="s">
        <v>358</v>
      </c>
      <c r="E90" s="56" t="s">
        <v>143</v>
      </c>
      <c r="F90" s="56" t="s">
        <v>252</v>
      </c>
      <c r="G90" s="30">
        <f>IF(E90="","",IF(OR(E90="Project Management",E90="Project Support",E90="Sprint Management",E90="Sprint Support"),"NA",ROUND((((VLOOKUP(AD90,Formula!V:X,3,0)))-SUMIF(AD:AD,AD90,H:H)),2)))</f>
        <v>4.57</v>
      </c>
      <c r="H90" s="63">
        <v>7</v>
      </c>
      <c r="I90" s="63">
        <v>7</v>
      </c>
      <c r="J90" s="63" t="s">
        <v>203</v>
      </c>
      <c r="K90" s="31">
        <f>IF(E90="","",IF(OR(E90="Project Management",E90="Project Support",E90="Sprint Management",E90="Sprint Support"),"NA",(((SUMIF(AD:AD,AD90,H:H)/VLOOKUP(AD90,Formula!V:X,3,0))*VLOOKUP(AD90,Formula!V:X,2,0))*H90)/SUMIF(AD:AD,AD90,H:H)))</f>
        <v>0.98000303971166169</v>
      </c>
      <c r="L90" s="31">
        <f t="shared" si="74"/>
        <v>0.1400004342445231</v>
      </c>
      <c r="M90" s="31">
        <f t="shared" si="75"/>
        <v>0.1400004342445231</v>
      </c>
      <c r="N90" s="31">
        <f t="shared" si="76"/>
        <v>0</v>
      </c>
      <c r="O90" s="31">
        <f t="shared" si="77"/>
        <v>1</v>
      </c>
      <c r="P90" s="32">
        <f t="shared" si="78"/>
        <v>1</v>
      </c>
      <c r="AC90" s="35" t="str">
        <f>IF(B90="","",VLOOKUP(B90,Formula!B:C,2,0))</f>
        <v>Release_1</v>
      </c>
      <c r="AD90" s="36" t="str">
        <f t="shared" si="73"/>
        <v>JFM19_Jan_Sprint_Sprint rework</v>
      </c>
    </row>
    <row r="91" spans="1:30" ht="30" x14ac:dyDescent="0.25">
      <c r="A91" s="56">
        <v>58</v>
      </c>
      <c r="B91" s="56" t="s">
        <v>261</v>
      </c>
      <c r="C91" s="57">
        <v>43466</v>
      </c>
      <c r="D91" s="58" t="s">
        <v>359</v>
      </c>
      <c r="E91" s="56" t="s">
        <v>143</v>
      </c>
      <c r="F91" s="56" t="s">
        <v>252</v>
      </c>
      <c r="G91" s="30">
        <f>IF(E91="","",IF(OR(E91="Project Management",E91="Project Support",E91="Sprint Management",E91="Sprint Support"),"NA",ROUND((((VLOOKUP(AD91,Formula!V:X,3,0)))-SUMIF(AD:AD,AD91,H:H)),2)))</f>
        <v>4.57</v>
      </c>
      <c r="H91" s="63">
        <v>7</v>
      </c>
      <c r="I91" s="63">
        <v>7</v>
      </c>
      <c r="J91" s="63" t="s">
        <v>203</v>
      </c>
      <c r="K91" s="31">
        <f>IF(E91="","",IF(OR(E91="Project Management",E91="Project Support",E91="Sprint Management",E91="Sprint Support"),"NA",(((SUMIF(AD:AD,AD91,H:H)/VLOOKUP(AD91,Formula!V:X,3,0))*VLOOKUP(AD91,Formula!V:X,2,0))*H91)/SUMIF(AD:AD,AD91,H:H)))</f>
        <v>0.98000303971166169</v>
      </c>
      <c r="L91" s="31">
        <f t="shared" si="74"/>
        <v>0.1400004342445231</v>
      </c>
      <c r="M91" s="31">
        <f t="shared" si="75"/>
        <v>0.1400004342445231</v>
      </c>
      <c r="N91" s="31">
        <f t="shared" si="76"/>
        <v>0</v>
      </c>
      <c r="O91" s="31">
        <f t="shared" si="77"/>
        <v>1</v>
      </c>
      <c r="P91" s="32">
        <f t="shared" si="78"/>
        <v>1</v>
      </c>
      <c r="AC91" s="35" t="str">
        <f>IF(B91="","",VLOOKUP(B91,Formula!B:C,2,0))</f>
        <v>Release_1</v>
      </c>
      <c r="AD91" s="36" t="str">
        <f t="shared" si="73"/>
        <v>JFM19_Jan_Sprint_Sprint rework</v>
      </c>
    </row>
    <row r="92" spans="1:30" ht="30" x14ac:dyDescent="0.25">
      <c r="A92" s="56">
        <v>107</v>
      </c>
      <c r="B92" s="56" t="s">
        <v>261</v>
      </c>
      <c r="C92" s="57">
        <v>43466</v>
      </c>
      <c r="D92" s="59" t="s">
        <v>360</v>
      </c>
      <c r="E92" s="56" t="s">
        <v>143</v>
      </c>
      <c r="F92" s="56" t="s">
        <v>252</v>
      </c>
      <c r="G92" s="30">
        <f>IF(E92="","",IF(OR(E92="Project Management",E92="Project Support",E92="Sprint Management",E92="Sprint Support"),"NA",ROUND((((VLOOKUP(AD92,Formula!V:X,3,0)))-SUMIF(AD:AD,AD92,H:H)),2)))</f>
        <v>4.57</v>
      </c>
      <c r="H92" s="63">
        <v>7</v>
      </c>
      <c r="I92" s="63">
        <v>7</v>
      </c>
      <c r="J92" s="63" t="s">
        <v>203</v>
      </c>
      <c r="K92" s="31">
        <f>IF(E92="","",IF(OR(E92="Project Management",E92="Project Support",E92="Sprint Management",E92="Sprint Support"),"NA",(((SUMIF(AD:AD,AD92,H:H)/VLOOKUP(AD92,Formula!V:X,3,0))*VLOOKUP(AD92,Formula!V:X,2,0))*H92)/SUMIF(AD:AD,AD92,H:H)))</f>
        <v>0.98000303971166169</v>
      </c>
      <c r="L92" s="31">
        <f t="shared" si="74"/>
        <v>0.1400004342445231</v>
      </c>
      <c r="M92" s="31">
        <f t="shared" si="75"/>
        <v>0.1400004342445231</v>
      </c>
      <c r="N92" s="31">
        <f t="shared" si="76"/>
        <v>0</v>
      </c>
      <c r="O92" s="31">
        <f t="shared" si="77"/>
        <v>1</v>
      </c>
      <c r="P92" s="32">
        <f t="shared" si="78"/>
        <v>1</v>
      </c>
      <c r="AC92" s="35" t="str">
        <f>IF(B92="","",VLOOKUP(B92,Formula!B:C,2,0))</f>
        <v>Release_1</v>
      </c>
      <c r="AD92" s="36" t="str">
        <f t="shared" si="73"/>
        <v>JFM19_Jan_Sprint_Sprint rework</v>
      </c>
    </row>
    <row r="93" spans="1:30" ht="60" x14ac:dyDescent="0.25">
      <c r="A93" s="56">
        <v>50</v>
      </c>
      <c r="B93" s="56" t="s">
        <v>261</v>
      </c>
      <c r="C93" s="57">
        <v>43466</v>
      </c>
      <c r="D93" s="59" t="s">
        <v>361</v>
      </c>
      <c r="E93" s="56" t="s">
        <v>143</v>
      </c>
      <c r="F93" s="56" t="s">
        <v>275</v>
      </c>
      <c r="G93" s="30">
        <f>IF(E93="","",IF(OR(E93="Project Management",E93="Project Support",E93="Sprint Management",E93="Sprint Support"),"NA",ROUND((((VLOOKUP(AD93,Formula!V:X,3,0)))-SUMIF(AD:AD,AD93,H:H)),2)))</f>
        <v>4.57</v>
      </c>
      <c r="H93" s="63">
        <v>4</v>
      </c>
      <c r="I93" s="63">
        <v>4</v>
      </c>
      <c r="J93" s="63" t="s">
        <v>203</v>
      </c>
      <c r="K93" s="31">
        <f>IF(E93="","",IF(OR(E93="Project Management",E93="Project Support",E93="Sprint Management",E93="Sprint Support"),"NA",(((SUMIF(AD:AD,AD93,H:H)/VLOOKUP(AD93,Formula!V:X,3,0))*VLOOKUP(AD93,Formula!V:X,2,0))*H93)/SUMIF(AD:AD,AD93,H:H)))</f>
        <v>0.56000173697809241</v>
      </c>
      <c r="L93" s="31">
        <f t="shared" si="74"/>
        <v>0.1400004342445231</v>
      </c>
      <c r="M93" s="31">
        <f t="shared" si="75"/>
        <v>0.1400004342445231</v>
      </c>
      <c r="N93" s="31">
        <f t="shared" si="76"/>
        <v>0</v>
      </c>
      <c r="O93" s="31">
        <f t="shared" si="77"/>
        <v>1</v>
      </c>
      <c r="P93" s="32">
        <f t="shared" si="78"/>
        <v>1</v>
      </c>
      <c r="AC93" s="35" t="str">
        <f>IF(B93="","",VLOOKUP(B93,Formula!B:C,2,0))</f>
        <v>Release_1</v>
      </c>
      <c r="AD93" s="36" t="str">
        <f t="shared" si="73"/>
        <v>JFM19_Jan_Sprint_Sprint rework</v>
      </c>
    </row>
    <row r="94" spans="1:30" ht="60" x14ac:dyDescent="0.25">
      <c r="A94" s="56">
        <v>67</v>
      </c>
      <c r="B94" s="56" t="s">
        <v>261</v>
      </c>
      <c r="C94" s="57">
        <v>43466</v>
      </c>
      <c r="D94" s="59" t="s">
        <v>362</v>
      </c>
      <c r="E94" s="56" t="s">
        <v>143</v>
      </c>
      <c r="F94" s="56" t="s">
        <v>275</v>
      </c>
      <c r="G94" s="30">
        <f>IF(E94="","",IF(OR(E94="Project Management",E94="Project Support",E94="Sprint Management",E94="Sprint Support"),"NA",ROUND((((VLOOKUP(AD94,Formula!V:X,3,0)))-SUMIF(AD:AD,AD94,H:H)),2)))</f>
        <v>4.57</v>
      </c>
      <c r="H94" s="63">
        <v>7</v>
      </c>
      <c r="I94" s="63">
        <v>7</v>
      </c>
      <c r="J94" s="63" t="s">
        <v>203</v>
      </c>
      <c r="K94" s="31">
        <f>IF(E94="","",IF(OR(E94="Project Management",E94="Project Support",E94="Sprint Management",E94="Sprint Support"),"NA",(((SUMIF(AD:AD,AD94,H:H)/VLOOKUP(AD94,Formula!V:X,3,0))*VLOOKUP(AD94,Formula!V:X,2,0))*H94)/SUMIF(AD:AD,AD94,H:H)))</f>
        <v>0.98000303971166169</v>
      </c>
      <c r="L94" s="31">
        <f t="shared" si="74"/>
        <v>0.1400004342445231</v>
      </c>
      <c r="M94" s="31">
        <f t="shared" si="75"/>
        <v>0.1400004342445231</v>
      </c>
      <c r="N94" s="31">
        <f t="shared" si="76"/>
        <v>0</v>
      </c>
      <c r="O94" s="31">
        <f t="shared" si="77"/>
        <v>1</v>
      </c>
      <c r="P94" s="32">
        <f t="shared" si="78"/>
        <v>1</v>
      </c>
      <c r="AC94" s="35" t="str">
        <f>IF(B94="","",VLOOKUP(B94,Formula!B:C,2,0))</f>
        <v>Release_1</v>
      </c>
      <c r="AD94" s="36" t="str">
        <f t="shared" si="73"/>
        <v>JFM19_Jan_Sprint_Sprint rework</v>
      </c>
    </row>
    <row r="95" spans="1:30" ht="60" x14ac:dyDescent="0.25">
      <c r="A95" s="56">
        <v>99</v>
      </c>
      <c r="B95" s="56" t="s">
        <v>261</v>
      </c>
      <c r="C95" s="57">
        <v>43466</v>
      </c>
      <c r="D95" s="59" t="s">
        <v>363</v>
      </c>
      <c r="E95" s="56" t="s">
        <v>143</v>
      </c>
      <c r="F95" s="56" t="s">
        <v>275</v>
      </c>
      <c r="G95" s="30">
        <f>IF(E95="","",IF(OR(E95="Project Management",E95="Project Support",E95="Sprint Management",E95="Sprint Support"),"NA",ROUND((((VLOOKUP(AD95,Formula!V:X,3,0)))-SUMIF(AD:AD,AD95,H:H)),2)))</f>
        <v>4.57</v>
      </c>
      <c r="H95" s="63">
        <v>7</v>
      </c>
      <c r="I95" s="63">
        <v>7</v>
      </c>
      <c r="J95" s="63" t="s">
        <v>203</v>
      </c>
      <c r="K95" s="31">
        <f>IF(E95="","",IF(OR(E95="Project Management",E95="Project Support",E95="Sprint Management",E95="Sprint Support"),"NA",(((SUMIF(AD:AD,AD95,H:H)/VLOOKUP(AD95,Formula!V:X,3,0))*VLOOKUP(AD95,Formula!V:X,2,0))*H95)/SUMIF(AD:AD,AD95,H:H)))</f>
        <v>0.98000303971166169</v>
      </c>
      <c r="L95" s="31">
        <f t="shared" si="74"/>
        <v>0.1400004342445231</v>
      </c>
      <c r="M95" s="31">
        <f t="shared" si="75"/>
        <v>0.1400004342445231</v>
      </c>
      <c r="N95" s="31">
        <f t="shared" si="76"/>
        <v>0</v>
      </c>
      <c r="O95" s="31">
        <f t="shared" si="77"/>
        <v>1</v>
      </c>
      <c r="P95" s="32">
        <f t="shared" si="78"/>
        <v>1</v>
      </c>
      <c r="AC95" s="35" t="str">
        <f>IF(B95="","",VLOOKUP(B95,Formula!B:C,2,0))</f>
        <v>Release_1</v>
      </c>
      <c r="AD95" s="36" t="str">
        <f t="shared" si="73"/>
        <v>JFM19_Jan_Sprint_Sprint rework</v>
      </c>
    </row>
    <row r="96" spans="1:30" ht="45" x14ac:dyDescent="0.25">
      <c r="A96" s="56">
        <v>116</v>
      </c>
      <c r="B96" s="56" t="s">
        <v>261</v>
      </c>
      <c r="C96" s="57">
        <v>43466</v>
      </c>
      <c r="D96" s="58" t="s">
        <v>364</v>
      </c>
      <c r="E96" s="56" t="s">
        <v>143</v>
      </c>
      <c r="F96" s="56" t="s">
        <v>275</v>
      </c>
      <c r="G96" s="30">
        <f>IF(E96="","",IF(OR(E96="Project Management",E96="Project Support",E96="Sprint Management",E96="Sprint Support"),"NA",ROUND((((VLOOKUP(AD96,Formula!V:X,3,0)))-SUMIF(AD:AD,AD96,H:H)),2)))</f>
        <v>4.57</v>
      </c>
      <c r="H96" s="63">
        <v>7</v>
      </c>
      <c r="I96" s="63">
        <v>7</v>
      </c>
      <c r="J96" s="63" t="s">
        <v>203</v>
      </c>
      <c r="K96" s="31">
        <f>IF(E96="","",IF(OR(E96="Project Management",E96="Project Support",E96="Sprint Management",E96="Sprint Support"),"NA",(((SUMIF(AD:AD,AD96,H:H)/VLOOKUP(AD96,Formula!V:X,3,0))*VLOOKUP(AD96,Formula!V:X,2,0))*H96)/SUMIF(AD:AD,AD96,H:H)))</f>
        <v>0.98000303971166169</v>
      </c>
      <c r="L96" s="31">
        <f t="shared" si="74"/>
        <v>0.1400004342445231</v>
      </c>
      <c r="M96" s="31">
        <f t="shared" si="75"/>
        <v>0.1400004342445231</v>
      </c>
      <c r="N96" s="31">
        <f t="shared" si="76"/>
        <v>0</v>
      </c>
      <c r="O96" s="31">
        <f t="shared" si="77"/>
        <v>1</v>
      </c>
      <c r="P96" s="32">
        <f t="shared" si="78"/>
        <v>1</v>
      </c>
      <c r="AC96" s="35" t="str">
        <f>IF(B96="","",VLOOKUP(B96,Formula!B:C,2,0))</f>
        <v>Release_1</v>
      </c>
      <c r="AD96" s="36" t="str">
        <f t="shared" si="73"/>
        <v>JFM19_Jan_Sprint_Sprint rework</v>
      </c>
    </row>
    <row r="97" spans="1:30" ht="45" x14ac:dyDescent="0.25">
      <c r="A97" s="56">
        <v>79</v>
      </c>
      <c r="B97" s="56" t="s">
        <v>261</v>
      </c>
      <c r="C97" s="57">
        <v>43466</v>
      </c>
      <c r="D97" s="59" t="s">
        <v>365</v>
      </c>
      <c r="E97" s="56" t="s">
        <v>143</v>
      </c>
      <c r="F97" s="56" t="s">
        <v>251</v>
      </c>
      <c r="G97" s="30">
        <f>IF(E97="","",IF(OR(E97="Project Management",E97="Project Support",E97="Sprint Management",E97="Sprint Support"),"NA",ROUND((((VLOOKUP(AD97,Formula!V:X,3,0)))-SUMIF(AD:AD,AD97,H:H)),2)))</f>
        <v>4.57</v>
      </c>
      <c r="H97" s="63">
        <v>7</v>
      </c>
      <c r="I97" s="63">
        <v>7</v>
      </c>
      <c r="J97" s="63" t="s">
        <v>203</v>
      </c>
      <c r="K97" s="31">
        <f>IF(E97="","",IF(OR(E97="Project Management",E97="Project Support",E97="Sprint Management",E97="Sprint Support"),"NA",(((SUMIF(AD:AD,AD97,H:H)/VLOOKUP(AD97,Formula!V:X,3,0))*VLOOKUP(AD97,Formula!V:X,2,0))*H97)/SUMIF(AD:AD,AD97,H:H)))</f>
        <v>0.98000303971166169</v>
      </c>
      <c r="L97" s="31">
        <f t="shared" si="74"/>
        <v>0.1400004342445231</v>
      </c>
      <c r="M97" s="31">
        <f t="shared" si="75"/>
        <v>0.1400004342445231</v>
      </c>
      <c r="N97" s="31">
        <f t="shared" si="76"/>
        <v>0</v>
      </c>
      <c r="O97" s="31">
        <f t="shared" si="77"/>
        <v>1</v>
      </c>
      <c r="P97" s="32">
        <f t="shared" si="78"/>
        <v>1</v>
      </c>
      <c r="AC97" s="35" t="str">
        <f>IF(B97="","",VLOOKUP(B97,Formula!B:C,2,0))</f>
        <v>Release_1</v>
      </c>
      <c r="AD97" s="36" t="str">
        <f t="shared" si="73"/>
        <v>JFM19_Jan_Sprint_Sprint rework</v>
      </c>
    </row>
    <row r="98" spans="1:30" ht="45" x14ac:dyDescent="0.25">
      <c r="A98" s="56">
        <v>85</v>
      </c>
      <c r="B98" s="56" t="s">
        <v>261</v>
      </c>
      <c r="C98" s="57">
        <v>43466</v>
      </c>
      <c r="D98" s="59" t="s">
        <v>366</v>
      </c>
      <c r="E98" s="56" t="s">
        <v>143</v>
      </c>
      <c r="F98" s="56" t="s">
        <v>251</v>
      </c>
      <c r="G98" s="30">
        <f>IF(E98="","",IF(OR(E98="Project Management",E98="Project Support",E98="Sprint Management",E98="Sprint Support"),"NA",ROUND((((VLOOKUP(AD98,Formula!V:X,3,0)))-SUMIF(AD:AD,AD98,H:H)),2)))</f>
        <v>4.57</v>
      </c>
      <c r="H98" s="63">
        <v>4</v>
      </c>
      <c r="I98" s="63">
        <v>4</v>
      </c>
      <c r="J98" s="63" t="s">
        <v>203</v>
      </c>
      <c r="K98" s="31">
        <f>IF(E98="","",IF(OR(E98="Project Management",E98="Project Support",E98="Sprint Management",E98="Sprint Support"),"NA",(((SUMIF(AD:AD,AD98,H:H)/VLOOKUP(AD98,Formula!V:X,3,0))*VLOOKUP(AD98,Formula!V:X,2,0))*H98)/SUMIF(AD:AD,AD98,H:H)))</f>
        <v>0.56000173697809241</v>
      </c>
      <c r="L98" s="31">
        <f t="shared" si="74"/>
        <v>0.1400004342445231</v>
      </c>
      <c r="M98" s="31">
        <f t="shared" si="75"/>
        <v>0.1400004342445231</v>
      </c>
      <c r="N98" s="31">
        <f t="shared" si="76"/>
        <v>0</v>
      </c>
      <c r="O98" s="31">
        <f t="shared" si="77"/>
        <v>1</v>
      </c>
      <c r="P98" s="32">
        <f t="shared" si="78"/>
        <v>1</v>
      </c>
      <c r="AC98" s="35" t="str">
        <f>IF(B98="","",VLOOKUP(B98,Formula!B:C,2,0))</f>
        <v>Release_1</v>
      </c>
      <c r="AD98" s="36" t="str">
        <f t="shared" si="73"/>
        <v>JFM19_Jan_Sprint_Sprint rework</v>
      </c>
    </row>
    <row r="99" spans="1:30" ht="45" x14ac:dyDescent="0.25">
      <c r="A99" s="56">
        <v>100</v>
      </c>
      <c r="B99" s="56" t="s">
        <v>261</v>
      </c>
      <c r="C99" s="57">
        <v>43466</v>
      </c>
      <c r="D99" s="58" t="s">
        <v>367</v>
      </c>
      <c r="E99" s="56" t="s">
        <v>143</v>
      </c>
      <c r="F99" s="56" t="s">
        <v>251</v>
      </c>
      <c r="G99" s="30">
        <f>IF(E99="","",IF(OR(E99="Project Management",E99="Project Support",E99="Sprint Management",E99="Sprint Support"),"NA",ROUND((((VLOOKUP(AD99,Formula!V:X,3,0)))-SUMIF(AD:AD,AD99,H:H)),2)))</f>
        <v>4.57</v>
      </c>
      <c r="H99" s="63">
        <v>8</v>
      </c>
      <c r="I99" s="63">
        <v>8</v>
      </c>
      <c r="J99" s="63" t="s">
        <v>203</v>
      </c>
      <c r="K99" s="31">
        <f>IF(E99="","",IF(OR(E99="Project Management",E99="Project Support",E99="Sprint Management",E99="Sprint Support"),"NA",(((SUMIF(AD:AD,AD99,H:H)/VLOOKUP(AD99,Formula!V:X,3,0))*VLOOKUP(AD99,Formula!V:X,2,0))*H99)/SUMIF(AD:AD,AD99,H:H)))</f>
        <v>1.1200034739561848</v>
      </c>
      <c r="L99" s="31">
        <f t="shared" si="74"/>
        <v>0.1400004342445231</v>
      </c>
      <c r="M99" s="31">
        <f t="shared" si="75"/>
        <v>0.1400004342445231</v>
      </c>
      <c r="N99" s="31">
        <f t="shared" si="76"/>
        <v>0</v>
      </c>
      <c r="O99" s="31">
        <f t="shared" si="77"/>
        <v>1</v>
      </c>
      <c r="P99" s="32">
        <f t="shared" si="78"/>
        <v>1</v>
      </c>
      <c r="AC99" s="35" t="str">
        <f>IF(B99="","",VLOOKUP(B99,Formula!B:C,2,0))</f>
        <v>Release_1</v>
      </c>
      <c r="AD99" s="36" t="str">
        <f t="shared" si="73"/>
        <v>JFM19_Jan_Sprint_Sprint rework</v>
      </c>
    </row>
    <row r="100" spans="1:30" ht="30" x14ac:dyDescent="0.25">
      <c r="A100" s="56">
        <v>57</v>
      </c>
      <c r="B100" s="56" t="s">
        <v>261</v>
      </c>
      <c r="C100" s="57">
        <v>43466</v>
      </c>
      <c r="D100" s="58" t="s">
        <v>368</v>
      </c>
      <c r="E100" s="56" t="s">
        <v>143</v>
      </c>
      <c r="F100" s="56" t="s">
        <v>251</v>
      </c>
      <c r="G100" s="30">
        <f>IF(E100="","",IF(OR(E100="Project Management",E100="Project Support",E100="Sprint Management",E100="Sprint Support"),"NA",ROUND((((VLOOKUP(AD100,Formula!V:X,3,0)))-SUMIF(AD:AD,AD100,H:H)),2)))</f>
        <v>4.57</v>
      </c>
      <c r="H100" s="63">
        <v>8</v>
      </c>
      <c r="I100" s="63">
        <v>8</v>
      </c>
      <c r="J100" s="63" t="s">
        <v>203</v>
      </c>
      <c r="K100" s="31">
        <f>IF(E100="","",IF(OR(E100="Project Management",E100="Project Support",E100="Sprint Management",E100="Sprint Support"),"NA",(((SUMIF(AD:AD,AD100,H:H)/VLOOKUP(AD100,Formula!V:X,3,0))*VLOOKUP(AD100,Formula!V:X,2,0))*H100)/SUMIF(AD:AD,AD100,H:H)))</f>
        <v>1.1200034739561848</v>
      </c>
      <c r="L100" s="31">
        <f t="shared" si="74"/>
        <v>0.1400004342445231</v>
      </c>
      <c r="M100" s="31">
        <f t="shared" si="75"/>
        <v>0.1400004342445231</v>
      </c>
      <c r="N100" s="31">
        <f t="shared" si="76"/>
        <v>0</v>
      </c>
      <c r="O100" s="31">
        <f t="shared" si="77"/>
        <v>1</v>
      </c>
      <c r="P100" s="32">
        <f t="shared" si="78"/>
        <v>1</v>
      </c>
      <c r="AC100" s="35" t="str">
        <f>IF(B100="","",VLOOKUP(B100,Formula!B:C,2,0))</f>
        <v>Release_1</v>
      </c>
      <c r="AD100" s="36" t="str">
        <f t="shared" si="73"/>
        <v>JFM19_Jan_Sprint_Sprint rework</v>
      </c>
    </row>
    <row r="101" spans="1:30" ht="30" x14ac:dyDescent="0.25">
      <c r="A101" s="56">
        <v>61</v>
      </c>
      <c r="B101" s="56" t="s">
        <v>261</v>
      </c>
      <c r="C101" s="57">
        <v>43466</v>
      </c>
      <c r="D101" s="59" t="s">
        <v>369</v>
      </c>
      <c r="E101" s="56" t="s">
        <v>143</v>
      </c>
      <c r="F101" s="56" t="s">
        <v>251</v>
      </c>
      <c r="G101" s="30">
        <f>IF(E101="","",IF(OR(E101="Project Management",E101="Project Support",E101="Sprint Management",E101="Sprint Support"),"NA",ROUND((((VLOOKUP(AD101,Formula!V:X,3,0)))-SUMIF(AD:AD,AD101,H:H)),2)))</f>
        <v>4.57</v>
      </c>
      <c r="H101" s="63">
        <v>8</v>
      </c>
      <c r="I101" s="63">
        <v>8</v>
      </c>
      <c r="J101" s="63" t="s">
        <v>203</v>
      </c>
      <c r="K101" s="31">
        <f>IF(E101="","",IF(OR(E101="Project Management",E101="Project Support",E101="Sprint Management",E101="Sprint Support"),"NA",(((SUMIF(AD:AD,AD101,H:H)/VLOOKUP(AD101,Formula!V:X,3,0))*VLOOKUP(AD101,Formula!V:X,2,0))*H101)/SUMIF(AD:AD,AD101,H:H)))</f>
        <v>1.1200034739561848</v>
      </c>
      <c r="L101" s="31">
        <f t="shared" si="74"/>
        <v>0.1400004342445231</v>
      </c>
      <c r="M101" s="31">
        <f t="shared" si="75"/>
        <v>0.1400004342445231</v>
      </c>
      <c r="N101" s="31">
        <f t="shared" si="76"/>
        <v>0</v>
      </c>
      <c r="O101" s="31">
        <f t="shared" si="77"/>
        <v>1</v>
      </c>
      <c r="P101" s="32">
        <f t="shared" si="78"/>
        <v>1</v>
      </c>
      <c r="AC101" s="35" t="str">
        <f>IF(B101="","",VLOOKUP(B101,Formula!B:C,2,0))</f>
        <v>Release_1</v>
      </c>
      <c r="AD101" s="36" t="str">
        <f t="shared" si="73"/>
        <v>JFM19_Jan_Sprint_Sprint rework</v>
      </c>
    </row>
    <row r="102" spans="1:30" ht="30" x14ac:dyDescent="0.25">
      <c r="A102" s="56">
        <v>72</v>
      </c>
      <c r="B102" s="56" t="s">
        <v>261</v>
      </c>
      <c r="C102" s="57">
        <v>43466</v>
      </c>
      <c r="D102" s="58" t="s">
        <v>370</v>
      </c>
      <c r="E102" s="56" t="s">
        <v>143</v>
      </c>
      <c r="F102" s="56" t="s">
        <v>251</v>
      </c>
      <c r="G102" s="30">
        <f>IF(E102="","",IF(OR(E102="Project Management",E102="Project Support",E102="Sprint Management",E102="Sprint Support"),"NA",ROUND((((VLOOKUP(AD102,Formula!V:X,3,0)))-SUMIF(AD:AD,AD102,H:H)),2)))</f>
        <v>4.57</v>
      </c>
      <c r="H102" s="63">
        <v>8</v>
      </c>
      <c r="I102" s="63">
        <v>8</v>
      </c>
      <c r="J102" s="63" t="s">
        <v>203</v>
      </c>
      <c r="K102" s="31">
        <f>IF(E102="","",IF(OR(E102="Project Management",E102="Project Support",E102="Sprint Management",E102="Sprint Support"),"NA",(((SUMIF(AD:AD,AD102,H:H)/VLOOKUP(AD102,Formula!V:X,3,0))*VLOOKUP(AD102,Formula!V:X,2,0))*H102)/SUMIF(AD:AD,AD102,H:H)))</f>
        <v>1.1200034739561848</v>
      </c>
      <c r="L102" s="31">
        <f t="shared" si="74"/>
        <v>0.1400004342445231</v>
      </c>
      <c r="M102" s="31">
        <f t="shared" si="75"/>
        <v>0.1400004342445231</v>
      </c>
      <c r="N102" s="31">
        <f t="shared" si="76"/>
        <v>0</v>
      </c>
      <c r="O102" s="31">
        <f t="shared" si="77"/>
        <v>1</v>
      </c>
      <c r="P102" s="32">
        <f t="shared" si="78"/>
        <v>1</v>
      </c>
      <c r="AC102" s="35" t="str">
        <f>IF(B102="","",VLOOKUP(B102,Formula!B:C,2,0))</f>
        <v>Release_1</v>
      </c>
      <c r="AD102" s="36" t="str">
        <f t="shared" si="73"/>
        <v>JFM19_Jan_Sprint_Sprint rework</v>
      </c>
    </row>
    <row r="103" spans="1:30" ht="45" x14ac:dyDescent="0.25">
      <c r="A103" s="56">
        <v>106</v>
      </c>
      <c r="B103" s="56" t="s">
        <v>261</v>
      </c>
      <c r="C103" s="57">
        <v>43466</v>
      </c>
      <c r="D103" s="58" t="s">
        <v>371</v>
      </c>
      <c r="E103" s="56" t="s">
        <v>143</v>
      </c>
      <c r="F103" s="56" t="s">
        <v>251</v>
      </c>
      <c r="G103" s="30">
        <f>IF(E103="","",IF(OR(E103="Project Management",E103="Project Support",E103="Sprint Management",E103="Sprint Support"),"NA",ROUND((((VLOOKUP(AD103,Formula!V:X,3,0)))-SUMIF(AD:AD,AD103,H:H)),2)))</f>
        <v>4.57</v>
      </c>
      <c r="H103" s="63">
        <v>8</v>
      </c>
      <c r="I103" s="63">
        <v>8</v>
      </c>
      <c r="J103" s="63" t="s">
        <v>203</v>
      </c>
      <c r="K103" s="31">
        <f>IF(E103="","",IF(OR(E103="Project Management",E103="Project Support",E103="Sprint Management",E103="Sprint Support"),"NA",(((SUMIF(AD:AD,AD103,H:H)/VLOOKUP(AD103,Formula!V:X,3,0))*VLOOKUP(AD103,Formula!V:X,2,0))*H103)/SUMIF(AD:AD,AD103,H:H)))</f>
        <v>1.1200034739561848</v>
      </c>
      <c r="L103" s="31">
        <f t="shared" si="74"/>
        <v>0.1400004342445231</v>
      </c>
      <c r="M103" s="31">
        <f t="shared" si="75"/>
        <v>0.1400004342445231</v>
      </c>
      <c r="N103" s="31">
        <f t="shared" si="76"/>
        <v>0</v>
      </c>
      <c r="O103" s="31">
        <f t="shared" si="77"/>
        <v>1</v>
      </c>
      <c r="P103" s="32">
        <f t="shared" si="78"/>
        <v>1</v>
      </c>
      <c r="AC103" s="35" t="str">
        <f>IF(B103="","",VLOOKUP(B103,Formula!B:C,2,0))</f>
        <v>Release_1</v>
      </c>
      <c r="AD103" s="36" t="str">
        <f t="shared" si="73"/>
        <v>JFM19_Jan_Sprint_Sprint rework</v>
      </c>
    </row>
    <row r="104" spans="1:30" ht="45" x14ac:dyDescent="0.25">
      <c r="A104" s="56">
        <v>110</v>
      </c>
      <c r="B104" s="56" t="s">
        <v>261</v>
      </c>
      <c r="C104" s="57">
        <v>43466</v>
      </c>
      <c r="D104" s="59" t="s">
        <v>372</v>
      </c>
      <c r="E104" s="56" t="s">
        <v>143</v>
      </c>
      <c r="F104" s="56" t="s">
        <v>253</v>
      </c>
      <c r="G104" s="30">
        <f>IF(E104="","",IF(OR(E104="Project Management",E104="Project Support",E104="Sprint Management",E104="Sprint Support"),"NA",ROUND((((VLOOKUP(AD104,Formula!V:X,3,0)))-SUMIF(AD:AD,AD104,H:H)),2)))</f>
        <v>4.57</v>
      </c>
      <c r="H104" s="63">
        <v>9</v>
      </c>
      <c r="I104" s="63">
        <v>9</v>
      </c>
      <c r="J104" s="63" t="s">
        <v>203</v>
      </c>
      <c r="K104" s="31">
        <f>IF(E104="","",IF(OR(E104="Project Management",E104="Project Support",E104="Sprint Management",E104="Sprint Support"),"NA",(((SUMIF(AD:AD,AD104,H:H)/VLOOKUP(AD104,Formula!V:X,3,0))*VLOOKUP(AD104,Formula!V:X,2,0))*H104)/SUMIF(AD:AD,AD104,H:H)))</f>
        <v>1.260003908200708</v>
      </c>
      <c r="L104" s="31">
        <f t="shared" si="74"/>
        <v>0.1400004342445231</v>
      </c>
      <c r="M104" s="31">
        <f t="shared" si="75"/>
        <v>0.1400004342445231</v>
      </c>
      <c r="N104" s="31">
        <f t="shared" si="76"/>
        <v>0</v>
      </c>
      <c r="O104" s="31">
        <f t="shared" si="77"/>
        <v>1</v>
      </c>
      <c r="P104" s="32">
        <f t="shared" si="78"/>
        <v>1</v>
      </c>
      <c r="AC104" s="35" t="str">
        <f>IF(B104="","",VLOOKUP(B104,Formula!B:C,2,0))</f>
        <v>Release_1</v>
      </c>
      <c r="AD104" s="36" t="str">
        <f t="shared" si="73"/>
        <v>JFM19_Jan_Sprint_Sprint rework</v>
      </c>
    </row>
    <row r="105" spans="1:30" ht="45" x14ac:dyDescent="0.25">
      <c r="A105" s="56">
        <v>120</v>
      </c>
      <c r="B105" s="56" t="s">
        <v>261</v>
      </c>
      <c r="C105" s="57">
        <v>43466</v>
      </c>
      <c r="D105" s="58" t="s">
        <v>373</v>
      </c>
      <c r="E105" s="56" t="s">
        <v>143</v>
      </c>
      <c r="F105" s="56" t="s">
        <v>253</v>
      </c>
      <c r="G105" s="30">
        <f>IF(E105="","",IF(OR(E105="Project Management",E105="Project Support",E105="Sprint Management",E105="Sprint Support"),"NA",ROUND((((VLOOKUP(AD105,Formula!V:X,3,0)))-SUMIF(AD:AD,AD105,H:H)),2)))</f>
        <v>4.57</v>
      </c>
      <c r="H105" s="63">
        <v>4</v>
      </c>
      <c r="I105" s="63">
        <v>4</v>
      </c>
      <c r="J105" s="63" t="s">
        <v>203</v>
      </c>
      <c r="K105" s="31">
        <f>IF(E105="","",IF(OR(E105="Project Management",E105="Project Support",E105="Sprint Management",E105="Sprint Support"),"NA",(((SUMIF(AD:AD,AD105,H:H)/VLOOKUP(AD105,Formula!V:X,3,0))*VLOOKUP(AD105,Formula!V:X,2,0))*H105)/SUMIF(AD:AD,AD105,H:H)))</f>
        <v>0.56000173697809241</v>
      </c>
      <c r="L105" s="31">
        <f t="shared" si="74"/>
        <v>0.1400004342445231</v>
      </c>
      <c r="M105" s="31">
        <f t="shared" si="75"/>
        <v>0.1400004342445231</v>
      </c>
      <c r="N105" s="31">
        <f t="shared" si="76"/>
        <v>0</v>
      </c>
      <c r="O105" s="31">
        <f t="shared" si="77"/>
        <v>1</v>
      </c>
      <c r="P105" s="32">
        <f t="shared" si="78"/>
        <v>1</v>
      </c>
      <c r="AC105" s="35" t="str">
        <f>IF(B105="","",VLOOKUP(B105,Formula!B:C,2,0))</f>
        <v>Release_1</v>
      </c>
      <c r="AD105" s="36" t="str">
        <f t="shared" si="73"/>
        <v>JFM19_Jan_Sprint_Sprint rework</v>
      </c>
    </row>
    <row r="106" spans="1:30" ht="60" x14ac:dyDescent="0.25">
      <c r="A106" s="56">
        <v>55</v>
      </c>
      <c r="B106" s="56" t="s">
        <v>261</v>
      </c>
      <c r="C106" s="57">
        <v>43466</v>
      </c>
      <c r="D106" s="58" t="s">
        <v>374</v>
      </c>
      <c r="E106" s="56" t="s">
        <v>143</v>
      </c>
      <c r="F106" s="56" t="s">
        <v>253</v>
      </c>
      <c r="G106" s="30">
        <f>IF(E106="","",IF(OR(E106="Project Management",E106="Project Support",E106="Sprint Management",E106="Sprint Support"),"NA",ROUND((((VLOOKUP(AD106,Formula!V:X,3,0)))-SUMIF(AD:AD,AD106,H:H)),2)))</f>
        <v>4.57</v>
      </c>
      <c r="H106" s="63">
        <v>4</v>
      </c>
      <c r="I106" s="63">
        <v>4</v>
      </c>
      <c r="J106" s="63" t="s">
        <v>203</v>
      </c>
      <c r="K106" s="31">
        <f>IF(E106="","",IF(OR(E106="Project Management",E106="Project Support",E106="Sprint Management",E106="Sprint Support"),"NA",(((SUMIF(AD:AD,AD106,H:H)/VLOOKUP(AD106,Formula!V:X,3,0))*VLOOKUP(AD106,Formula!V:X,2,0))*H106)/SUMIF(AD:AD,AD106,H:H)))</f>
        <v>0.56000173697809241</v>
      </c>
      <c r="L106" s="31">
        <f t="shared" si="74"/>
        <v>0.1400004342445231</v>
      </c>
      <c r="M106" s="31">
        <f t="shared" si="75"/>
        <v>0.1400004342445231</v>
      </c>
      <c r="N106" s="31">
        <f t="shared" si="76"/>
        <v>0</v>
      </c>
      <c r="O106" s="31">
        <f t="shared" si="77"/>
        <v>1</v>
      </c>
      <c r="P106" s="32">
        <f t="shared" si="78"/>
        <v>1</v>
      </c>
      <c r="AC106" s="35" t="str">
        <f>IF(B106="","",VLOOKUP(B106,Formula!B:C,2,0))</f>
        <v>Release_1</v>
      </c>
      <c r="AD106" s="36" t="str">
        <f t="shared" si="73"/>
        <v>JFM19_Jan_Sprint_Sprint rework</v>
      </c>
    </row>
    <row r="107" spans="1:30" ht="45" x14ac:dyDescent="0.25">
      <c r="A107" s="56">
        <v>64</v>
      </c>
      <c r="B107" s="56" t="s">
        <v>261</v>
      </c>
      <c r="C107" s="57">
        <v>43466</v>
      </c>
      <c r="D107" s="59" t="s">
        <v>375</v>
      </c>
      <c r="E107" s="56" t="s">
        <v>143</v>
      </c>
      <c r="F107" s="56" t="s">
        <v>253</v>
      </c>
      <c r="G107" s="30">
        <f>IF(E107="","",IF(OR(E107="Project Management",E107="Project Support",E107="Sprint Management",E107="Sprint Support"),"NA",ROUND((((VLOOKUP(AD107,Formula!V:X,3,0)))-SUMIF(AD:AD,AD107,H:H)),2)))</f>
        <v>4.57</v>
      </c>
      <c r="H107" s="63">
        <v>9</v>
      </c>
      <c r="I107" s="63">
        <v>9</v>
      </c>
      <c r="J107" s="63" t="s">
        <v>203</v>
      </c>
      <c r="K107" s="31">
        <f>IF(E107="","",IF(OR(E107="Project Management",E107="Project Support",E107="Sprint Management",E107="Sprint Support"),"NA",(((SUMIF(AD:AD,AD107,H:H)/VLOOKUP(AD107,Formula!V:X,3,0))*VLOOKUP(AD107,Formula!V:X,2,0))*H107)/SUMIF(AD:AD,AD107,H:H)))</f>
        <v>1.260003908200708</v>
      </c>
      <c r="L107" s="31">
        <f t="shared" si="74"/>
        <v>0.1400004342445231</v>
      </c>
      <c r="M107" s="31">
        <f t="shared" si="75"/>
        <v>0.1400004342445231</v>
      </c>
      <c r="N107" s="31">
        <f t="shared" si="76"/>
        <v>0</v>
      </c>
      <c r="O107" s="31">
        <f t="shared" si="77"/>
        <v>1</v>
      </c>
      <c r="P107" s="32">
        <f t="shared" si="78"/>
        <v>1</v>
      </c>
      <c r="AC107" s="35" t="str">
        <f>IF(B107="","",VLOOKUP(B107,Formula!B:C,2,0))</f>
        <v>Release_1</v>
      </c>
      <c r="AD107" s="36" t="str">
        <f t="shared" si="73"/>
        <v>JFM19_Jan_Sprint_Sprint rework</v>
      </c>
    </row>
    <row r="108" spans="1:30" ht="45" x14ac:dyDescent="0.25">
      <c r="A108" s="56">
        <v>70</v>
      </c>
      <c r="B108" s="56" t="s">
        <v>261</v>
      </c>
      <c r="C108" s="57">
        <v>43466</v>
      </c>
      <c r="D108" s="58" t="s">
        <v>376</v>
      </c>
      <c r="E108" s="56" t="s">
        <v>143</v>
      </c>
      <c r="F108" s="56" t="s">
        <v>253</v>
      </c>
      <c r="G108" s="30">
        <f>IF(E108="","",IF(OR(E108="Project Management",E108="Project Support",E108="Sprint Management",E108="Sprint Support"),"NA",ROUND((((VLOOKUP(AD108,Formula!V:X,3,0)))-SUMIF(AD:AD,AD108,H:H)),2)))</f>
        <v>4.57</v>
      </c>
      <c r="H108" s="63">
        <v>6</v>
      </c>
      <c r="I108" s="63">
        <v>6</v>
      </c>
      <c r="J108" s="63" t="s">
        <v>203</v>
      </c>
      <c r="K108" s="31">
        <f>IF(E108="","",IF(OR(E108="Project Management",E108="Project Support",E108="Sprint Management",E108="Sprint Support"),"NA",(((SUMIF(AD:AD,AD108,H:H)/VLOOKUP(AD108,Formula!V:X,3,0))*VLOOKUP(AD108,Formula!V:X,2,0))*H108)/SUMIF(AD:AD,AD108,H:H)))</f>
        <v>0.84000260546713856</v>
      </c>
      <c r="L108" s="31">
        <f t="shared" si="74"/>
        <v>0.1400004342445231</v>
      </c>
      <c r="M108" s="31">
        <f t="shared" si="75"/>
        <v>0.1400004342445231</v>
      </c>
      <c r="N108" s="31">
        <f t="shared" si="76"/>
        <v>0</v>
      </c>
      <c r="O108" s="31">
        <f t="shared" si="77"/>
        <v>1</v>
      </c>
      <c r="P108" s="32">
        <f t="shared" si="78"/>
        <v>1</v>
      </c>
      <c r="AC108" s="35" t="str">
        <f>IF(B108="","",VLOOKUP(B108,Formula!B:C,2,0))</f>
        <v>Release_1</v>
      </c>
      <c r="AD108" s="36" t="str">
        <f t="shared" si="73"/>
        <v>JFM19_Jan_Sprint_Sprint rework</v>
      </c>
    </row>
    <row r="109" spans="1:30" ht="60" x14ac:dyDescent="0.25">
      <c r="A109" s="56">
        <v>104</v>
      </c>
      <c r="B109" s="56" t="s">
        <v>261</v>
      </c>
      <c r="C109" s="57">
        <v>43466</v>
      </c>
      <c r="D109" s="58" t="s">
        <v>377</v>
      </c>
      <c r="E109" s="56" t="s">
        <v>143</v>
      </c>
      <c r="F109" s="56" t="s">
        <v>276</v>
      </c>
      <c r="G109" s="30">
        <f>IF(E109="","",IF(OR(E109="Project Management",E109="Project Support",E109="Sprint Management",E109="Sprint Support"),"NA",ROUND((((VLOOKUP(AD109,Formula!V:X,3,0)))-SUMIF(AD:AD,AD109,H:H)),2)))</f>
        <v>4.57</v>
      </c>
      <c r="H109" s="63">
        <v>6</v>
      </c>
      <c r="I109" s="63">
        <v>6</v>
      </c>
      <c r="J109" s="63" t="s">
        <v>203</v>
      </c>
      <c r="K109" s="31">
        <f>IF(E109="","",IF(OR(E109="Project Management",E109="Project Support",E109="Sprint Management",E109="Sprint Support"),"NA",(((SUMIF(AD:AD,AD109,H:H)/VLOOKUP(AD109,Formula!V:X,3,0))*VLOOKUP(AD109,Formula!V:X,2,0))*H109)/SUMIF(AD:AD,AD109,H:H)))</f>
        <v>0.84000260546713856</v>
      </c>
      <c r="L109" s="31">
        <f t="shared" si="74"/>
        <v>0.1400004342445231</v>
      </c>
      <c r="M109" s="31">
        <f t="shared" si="75"/>
        <v>0.1400004342445231</v>
      </c>
      <c r="N109" s="31">
        <f t="shared" si="76"/>
        <v>0</v>
      </c>
      <c r="O109" s="31">
        <f t="shared" si="77"/>
        <v>1</v>
      </c>
      <c r="P109" s="32">
        <f t="shared" si="78"/>
        <v>1</v>
      </c>
      <c r="AC109" s="35" t="str">
        <f>IF(B109="","",VLOOKUP(B109,Formula!B:C,2,0))</f>
        <v>Release_1</v>
      </c>
      <c r="AD109" s="36" t="str">
        <f t="shared" si="73"/>
        <v>JFM19_Jan_Sprint_Sprint rework</v>
      </c>
    </row>
    <row r="110" spans="1:30" ht="30" x14ac:dyDescent="0.25">
      <c r="A110" s="56">
        <v>113</v>
      </c>
      <c r="B110" s="56" t="s">
        <v>261</v>
      </c>
      <c r="C110" s="57">
        <v>43466</v>
      </c>
      <c r="D110" s="59" t="s">
        <v>378</v>
      </c>
      <c r="E110" s="56" t="s">
        <v>143</v>
      </c>
      <c r="F110" s="56" t="s">
        <v>276</v>
      </c>
      <c r="G110" s="30">
        <f>IF(E110="","",IF(OR(E110="Project Management",E110="Project Support",E110="Sprint Management",E110="Sprint Support"),"NA",ROUND((((VLOOKUP(AD110,Formula!V:X,3,0)))-SUMIF(AD:AD,AD110,H:H)),2)))</f>
        <v>4.57</v>
      </c>
      <c r="H110" s="63">
        <v>6</v>
      </c>
      <c r="I110" s="63">
        <v>6</v>
      </c>
      <c r="J110" s="63" t="s">
        <v>203</v>
      </c>
      <c r="K110" s="31">
        <f>IF(E110="","",IF(OR(E110="Project Management",E110="Project Support",E110="Sprint Management",E110="Sprint Support"),"NA",(((SUMIF(AD:AD,AD110,H:H)/VLOOKUP(AD110,Formula!V:X,3,0))*VLOOKUP(AD110,Formula!V:X,2,0))*H110)/SUMIF(AD:AD,AD110,H:H)))</f>
        <v>0.84000260546713856</v>
      </c>
      <c r="L110" s="31">
        <f t="shared" si="74"/>
        <v>0.1400004342445231</v>
      </c>
      <c r="M110" s="31">
        <f t="shared" si="75"/>
        <v>0.1400004342445231</v>
      </c>
      <c r="N110" s="31">
        <f t="shared" si="76"/>
        <v>0</v>
      </c>
      <c r="O110" s="31">
        <f t="shared" si="77"/>
        <v>1</v>
      </c>
      <c r="P110" s="32">
        <f t="shared" si="78"/>
        <v>1</v>
      </c>
      <c r="AC110" s="35" t="str">
        <f>IF(B110="","",VLOOKUP(B110,Formula!B:C,2,0))</f>
        <v>Release_1</v>
      </c>
      <c r="AD110" s="36" t="str">
        <f t="shared" si="73"/>
        <v>JFM19_Jan_Sprint_Sprint rework</v>
      </c>
    </row>
    <row r="111" spans="1:30" ht="45" x14ac:dyDescent="0.25">
      <c r="A111" s="56">
        <v>118</v>
      </c>
      <c r="B111" s="56" t="s">
        <v>261</v>
      </c>
      <c r="C111" s="57">
        <v>43466</v>
      </c>
      <c r="D111" s="59" t="s">
        <v>379</v>
      </c>
      <c r="E111" s="56" t="s">
        <v>143</v>
      </c>
      <c r="F111" s="56" t="s">
        <v>276</v>
      </c>
      <c r="G111" s="30">
        <f>IF(E111="","",IF(OR(E111="Project Management",E111="Project Support",E111="Sprint Management",E111="Sprint Support"),"NA",ROUND((((VLOOKUP(AD111,Formula!V:X,3,0)))-SUMIF(AD:AD,AD111,H:H)),2)))</f>
        <v>4.57</v>
      </c>
      <c r="H111" s="63">
        <v>6</v>
      </c>
      <c r="I111" s="63">
        <v>6</v>
      </c>
      <c r="J111" s="63" t="s">
        <v>203</v>
      </c>
      <c r="K111" s="31">
        <f>IF(E111="","",IF(OR(E111="Project Management",E111="Project Support",E111="Sprint Management",E111="Sprint Support"),"NA",(((SUMIF(AD:AD,AD111,H:H)/VLOOKUP(AD111,Formula!V:X,3,0))*VLOOKUP(AD111,Formula!V:X,2,0))*H111)/SUMIF(AD:AD,AD111,H:H)))</f>
        <v>0.84000260546713856</v>
      </c>
      <c r="L111" s="31">
        <f t="shared" si="74"/>
        <v>0.1400004342445231</v>
      </c>
      <c r="M111" s="31">
        <f t="shared" si="75"/>
        <v>0.1400004342445231</v>
      </c>
      <c r="N111" s="31">
        <f t="shared" si="76"/>
        <v>0</v>
      </c>
      <c r="O111" s="31">
        <f t="shared" si="77"/>
        <v>1</v>
      </c>
      <c r="P111" s="32">
        <f t="shared" si="78"/>
        <v>1</v>
      </c>
      <c r="AC111" s="35" t="str">
        <f>IF(B111="","",VLOOKUP(B111,Formula!B:C,2,0))</f>
        <v>Release_1</v>
      </c>
      <c r="AD111" s="36" t="str">
        <f t="shared" si="73"/>
        <v>JFM19_Jan_Sprint_Sprint rework</v>
      </c>
    </row>
    <row r="112" spans="1:30" ht="30" x14ac:dyDescent="0.25">
      <c r="A112" s="56">
        <v>119</v>
      </c>
      <c r="B112" s="56" t="s">
        <v>261</v>
      </c>
      <c r="C112" s="57">
        <v>43466</v>
      </c>
      <c r="D112" s="58" t="s">
        <v>380</v>
      </c>
      <c r="E112" s="56" t="s">
        <v>143</v>
      </c>
      <c r="F112" s="56" t="s">
        <v>276</v>
      </c>
      <c r="G112" s="30">
        <f>IF(E112="","",IF(OR(E112="Project Management",E112="Project Support",E112="Sprint Management",E112="Sprint Support"),"NA",ROUND((((VLOOKUP(AD112,Formula!V:X,3,0)))-SUMIF(AD:AD,AD112,H:H)),2)))</f>
        <v>4.57</v>
      </c>
      <c r="H112" s="63">
        <v>6</v>
      </c>
      <c r="I112" s="63">
        <v>6</v>
      </c>
      <c r="J112" s="63" t="s">
        <v>203</v>
      </c>
      <c r="K112" s="31">
        <f>IF(E112="","",IF(OR(E112="Project Management",E112="Project Support",E112="Sprint Management",E112="Sprint Support"),"NA",(((SUMIF(AD:AD,AD112,H:H)/VLOOKUP(AD112,Formula!V:X,3,0))*VLOOKUP(AD112,Formula!V:X,2,0))*H112)/SUMIF(AD:AD,AD112,H:H)))</f>
        <v>0.84000260546713856</v>
      </c>
      <c r="L112" s="31">
        <f t="shared" si="74"/>
        <v>0.1400004342445231</v>
      </c>
      <c r="M112" s="31">
        <f t="shared" si="75"/>
        <v>0.1400004342445231</v>
      </c>
      <c r="N112" s="31">
        <f t="shared" si="76"/>
        <v>0</v>
      </c>
      <c r="O112" s="31">
        <f t="shared" si="77"/>
        <v>1</v>
      </c>
      <c r="P112" s="32">
        <f t="shared" si="78"/>
        <v>1</v>
      </c>
      <c r="AC112" s="35" t="str">
        <f>IF(B112="","",VLOOKUP(B112,Formula!B:C,2,0))</f>
        <v>Release_1</v>
      </c>
      <c r="AD112" s="36" t="str">
        <f t="shared" si="73"/>
        <v>JFM19_Jan_Sprint_Sprint rework</v>
      </c>
    </row>
    <row r="113" spans="1:30" ht="45" x14ac:dyDescent="0.25">
      <c r="A113" s="56">
        <v>32</v>
      </c>
      <c r="B113" s="56" t="s">
        <v>261</v>
      </c>
      <c r="C113" s="57">
        <v>43466</v>
      </c>
      <c r="D113" s="59" t="s">
        <v>381</v>
      </c>
      <c r="E113" s="56" t="s">
        <v>143</v>
      </c>
      <c r="F113" s="56" t="s">
        <v>276</v>
      </c>
      <c r="G113" s="30">
        <f>IF(E113="","",IF(OR(E113="Project Management",E113="Project Support",E113="Sprint Management",E113="Sprint Support"),"NA",ROUND((((VLOOKUP(AD113,Formula!V:X,3,0)))-SUMIF(AD:AD,AD113,H:H)),2)))</f>
        <v>4.57</v>
      </c>
      <c r="H113" s="63">
        <v>6</v>
      </c>
      <c r="I113" s="63">
        <v>6</v>
      </c>
      <c r="J113" s="63" t="s">
        <v>203</v>
      </c>
      <c r="K113" s="31">
        <f>IF(E113="","",IF(OR(E113="Project Management",E113="Project Support",E113="Sprint Management",E113="Sprint Support"),"NA",(((SUMIF(AD:AD,AD113,H:H)/VLOOKUP(AD113,Formula!V:X,3,0))*VLOOKUP(AD113,Formula!V:X,2,0))*H113)/SUMIF(AD:AD,AD113,H:H)))</f>
        <v>0.84000260546713856</v>
      </c>
      <c r="L113" s="31">
        <f t="shared" si="74"/>
        <v>0.1400004342445231</v>
      </c>
      <c r="M113" s="31">
        <f t="shared" si="75"/>
        <v>0.1400004342445231</v>
      </c>
      <c r="N113" s="31">
        <f t="shared" si="76"/>
        <v>0</v>
      </c>
      <c r="O113" s="31">
        <f t="shared" si="77"/>
        <v>1</v>
      </c>
      <c r="P113" s="32">
        <f t="shared" si="78"/>
        <v>1</v>
      </c>
      <c r="AC113" s="35" t="str">
        <f>IF(B113="","",VLOOKUP(B113,Formula!B:C,2,0))</f>
        <v>Release_1</v>
      </c>
      <c r="AD113" s="36" t="str">
        <f t="shared" si="73"/>
        <v>JFM19_Jan_Sprint_Sprint rework</v>
      </c>
    </row>
  </sheetData>
  <sheetProtection autoFilter="0" pivotTables="0"/>
  <sortState ref="A2:P1083">
    <sortCondition ref="F1"/>
  </sortState>
  <dataValidations count="5">
    <dataValidation type="list" allowBlank="1" showInputMessage="1" showErrorMessage="1" sqref="B2:B113">
      <formula1>Release_CR_Name</formula1>
    </dataValidation>
    <dataValidation type="list" allowBlank="1" showInputMessage="1" showErrorMessage="1" sqref="F2:F113">
      <formula1>Resource_Names</formula1>
    </dataValidation>
    <dataValidation type="list" allowBlank="1" showInputMessage="1" showErrorMessage="1" sqref="E2:E113">
      <formula1>INDIRECT(AC2)</formula1>
    </dataValidation>
    <dataValidation type="list" allowBlank="1" showInputMessage="1" showErrorMessage="1" sqref="J1:J1048576">
      <formula1>"Open, Completed"</formula1>
    </dataValidation>
    <dataValidation type="list" allowBlank="1" showInputMessage="1" showErrorMessage="1" sqref="C1:C1048576">
      <formula1>"Apr-2018,May-2018,Jun-2018,Jul-2018,Aug-2018,Sep-2018,Oct-2018,Nov-2018,Dec-2018,Jan-2019,Feb-2019,Mar-2019"</formula1>
    </dataValidation>
  </dataValidation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56" id="{115B6B93-E369-4962-96F8-38C36F6E3A88}">
            <xm:f>IF(OR(E1="Project Management",E1="Project Support",E1="Sprint Management",E1="Sprint Support"),"",(VLOOKUP(AD1,Formula!V:X,3,0)&lt;ROUND(SUMIF(AD:AD,AD1,H:H),2)))</xm:f>
            <x14:dxf>
              <fill>
                <patternFill>
                  <bgColor rgb="FFFF0000"/>
                </patternFill>
              </fill>
            </x14:dxf>
          </x14:cfRule>
          <xm:sqref>H1</xm:sqref>
        </x14:conditionalFormatting>
        <x14:conditionalFormatting xmlns:xm="http://schemas.microsoft.com/office/excel/2006/main">
          <x14:cfRule type="expression" priority="33" id="{519462F1-5CB1-40DF-B400-6BEE09FE6847}">
            <xm:f>IF(OR(E2="Project Management",E2="Project Support",E2="Sprint Management",E2="Sprint Support"),"",(VLOOKUP(AD2,'\Work\IDM\Nippon\Data Collection Template\Final\[Nippon_Data_Collection_Template_1.3b - Copy.xlsm]Formula'!#REF!,3,0)&lt;ROUND(SUMIF(AD:AD,AD2,H:H),2)))</xm:f>
            <x14:dxf>
              <fill>
                <patternFill>
                  <bgColor rgb="FFFF0000"/>
                </patternFill>
              </fill>
            </x14:dxf>
          </x14:cfRule>
          <xm:sqref>H2:I15</xm:sqref>
        </x14:conditionalFormatting>
        <x14:conditionalFormatting xmlns:xm="http://schemas.microsoft.com/office/excel/2006/main">
          <x14:cfRule type="expression" priority="32" id="{3D7A1CD5-B4EB-4523-8AC6-297ACB36896E}">
            <xm:f>IF(OR(E16="Project Management",E16="Project Support",E16="Sprint Management",E16="Sprint Support"),"",(VLOOKUP(AD16,'\Work\IDM\Nippon\Data Collection Template\Final\[Nippon_Data_Collection_Template_1.3b - Copy.xlsm]Formula'!#REF!,3,0)&lt;ROUND(SUMIF(AD:AD,AD16,H:H),2)))</xm:f>
            <x14:dxf>
              <fill>
                <patternFill>
                  <bgColor rgb="FFFF0000"/>
                </patternFill>
              </fill>
            </x14:dxf>
          </x14:cfRule>
          <xm:sqref>H59:I113 H34:I34 H16:I30</xm:sqref>
        </x14:conditionalFormatting>
        <x14:conditionalFormatting xmlns:xm="http://schemas.microsoft.com/office/excel/2006/main">
          <x14:cfRule type="expression" priority="31" id="{CB7F065C-9355-4945-8213-697CB95E81F5}">
            <xm:f>IF(OR(E31="Project Management",E31="Project Support",E31="Sprint Management",E31="Sprint Support"),"",(VLOOKUP(AD31,'\Work\IDM\Nippon\Data Collection Template\Final\[Nippon_Data_Collection_Template_1.3b - Copy.xlsm]Formula'!#REF!,3,0)&lt;ROUND(SUMIF(AD:AD,AD31,H:H),2)))</xm:f>
            <x14:dxf>
              <fill>
                <patternFill>
                  <bgColor rgb="FFFF0000"/>
                </patternFill>
              </fill>
            </x14:dxf>
          </x14:cfRule>
          <xm:sqref>H35:I58 H31:I33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L301"/>
  <sheetViews>
    <sheetView showGridLines="0" workbookViewId="0">
      <selection activeCell="G2" sqref="G2"/>
    </sheetView>
  </sheetViews>
  <sheetFormatPr defaultRowHeight="15" x14ac:dyDescent="0.25"/>
  <cols>
    <col min="1" max="1" width="11" style="75" customWidth="1" collapsed="1"/>
    <col min="2" max="2" width="15.28515625" style="73" customWidth="1" collapsed="1"/>
    <col min="3" max="3" width="16.42578125" style="75" bestFit="1" customWidth="1" collapsed="1"/>
    <col min="4" max="4" width="23.85546875" style="75" customWidth="1" collapsed="1"/>
    <col min="5" max="6" width="10.140625" style="75" customWidth="1" collapsed="1"/>
    <col min="7" max="7" width="9.42578125" style="75" customWidth="1" collapsed="1"/>
    <col min="8" max="8" width="2.7109375" style="1" customWidth="1" collapsed="1"/>
    <col min="9" max="24" width="9.140625" style="1" collapsed="1"/>
    <col min="25" max="25" width="9.140625" style="83" collapsed="1"/>
    <col min="26" max="26" width="17.28515625" style="80" customWidth="1" collapsed="1"/>
    <col min="27" max="27" width="23.28515625" style="81" bestFit="1" customWidth="1" collapsed="1"/>
    <col min="28" max="28" width="7" style="80" bestFit="1" customWidth="1" collapsed="1"/>
    <col min="29" max="29" width="5.7109375" style="80" bestFit="1" customWidth="1" collapsed="1"/>
    <col min="30" max="30" width="4.5703125" style="80" bestFit="1" customWidth="1" collapsed="1"/>
    <col min="31" max="31" width="4.5703125" style="80" customWidth="1" collapsed="1"/>
    <col min="32" max="32" width="7.42578125" style="77" bestFit="1" customWidth="1" collapsed="1"/>
    <col min="33" max="33" width="7" style="82" customWidth="1" collapsed="1"/>
    <col min="34" max="34" width="16.42578125" style="80" customWidth="1" collapsed="1"/>
    <col min="35" max="35" width="24.7109375" style="80" customWidth="1" collapsed="1"/>
    <col min="36" max="36" width="9.140625" style="84" customWidth="1" collapsed="1"/>
    <col min="37" max="38" width="9.140625" style="79" customWidth="1" collapsed="1"/>
    <col min="39" max="52" width="9.140625" style="1" customWidth="1" collapsed="1"/>
    <col min="53" max="16384" width="9.140625" style="1" collapsed="1"/>
  </cols>
  <sheetData>
    <row r="1" spans="1:35" x14ac:dyDescent="0.25">
      <c r="A1" s="66" t="s">
        <v>153</v>
      </c>
      <c r="B1" s="67" t="s">
        <v>152</v>
      </c>
      <c r="C1" s="68" t="s">
        <v>149</v>
      </c>
      <c r="D1" s="68" t="s">
        <v>164</v>
      </c>
      <c r="E1" s="68" t="s">
        <v>150</v>
      </c>
      <c r="F1" s="68" t="s">
        <v>9</v>
      </c>
      <c r="G1" s="68" t="s">
        <v>151</v>
      </c>
      <c r="Z1" s="85"/>
      <c r="AA1" s="85"/>
      <c r="AB1" s="85"/>
      <c r="AC1" s="85"/>
      <c r="AD1" s="85"/>
      <c r="AE1" s="85"/>
      <c r="AF1" s="85"/>
    </row>
    <row r="2" spans="1:35" x14ac:dyDescent="0.25">
      <c r="A2" s="69">
        <f>IF(AF5="","",AF5)</f>
        <v>43252</v>
      </c>
      <c r="B2" s="70" t="e">
        <f t="shared" ref="B2:B65" si="0">AG5</f>
        <v>#N/A</v>
      </c>
      <c r="C2" s="71" t="str">
        <f t="shared" ref="C2:C65" si="1">AH5</f>
        <v>Story Point</v>
      </c>
      <c r="D2" s="71" t="str">
        <f t="shared" ref="D2:D65" si="2">AI5</f>
        <v>SP/PH</v>
      </c>
      <c r="E2" s="71">
        <f>IF(AB5="","",AB5)</f>
        <v>0.1476644574840188</v>
      </c>
      <c r="F2" s="71">
        <f>IF(AC5="","",AC5)</f>
        <v>0.14000745509515727</v>
      </c>
      <c r="G2" s="71">
        <f>IF(AD5="","",AD5)</f>
        <v>1.0546875</v>
      </c>
      <c r="Z2" s="85"/>
      <c r="AA2" s="85"/>
      <c r="AB2" s="85"/>
      <c r="AC2" s="85"/>
      <c r="AD2" s="85"/>
      <c r="AE2" s="85"/>
      <c r="AF2" s="85"/>
    </row>
    <row r="3" spans="1:35" x14ac:dyDescent="0.25">
      <c r="A3" s="69">
        <f t="shared" ref="A3:A66" si="3">IF(AF6="","",AF6)</f>
        <v>43252</v>
      </c>
      <c r="B3" s="70" t="e">
        <f t="shared" si="0"/>
        <v>#N/A</v>
      </c>
      <c r="C3" s="71" t="str">
        <f t="shared" si="1"/>
        <v>Story Point</v>
      </c>
      <c r="D3" s="71" t="str">
        <f t="shared" si="2"/>
        <v>SP/PH</v>
      </c>
      <c r="E3" s="71">
        <f t="shared" ref="E3:E66" si="4">IF(AB6="","",AB6)</f>
        <v>0.14253886979796704</v>
      </c>
      <c r="F3" s="71">
        <f t="shared" ref="F3:F66" si="5">IF(AC6="","",AC6)</f>
        <v>0.14000551585768936</v>
      </c>
      <c r="G3" s="71">
        <f t="shared" ref="G3:G66" si="6">IF(AD6="","",AD6)</f>
        <v>1.0180952380952382</v>
      </c>
      <c r="AA3" s="80"/>
      <c r="AB3" s="80" t="s">
        <v>159</v>
      </c>
      <c r="AE3" s="85"/>
      <c r="AF3" s="85"/>
    </row>
    <row r="4" spans="1:35" x14ac:dyDescent="0.25">
      <c r="A4" s="69">
        <f t="shared" si="3"/>
        <v>43252</v>
      </c>
      <c r="B4" s="70" t="e">
        <f t="shared" si="0"/>
        <v>#N/A</v>
      </c>
      <c r="C4" s="71" t="str">
        <f t="shared" si="1"/>
        <v>Story Point</v>
      </c>
      <c r="D4" s="71" t="str">
        <f t="shared" si="2"/>
        <v>SP/PH</v>
      </c>
      <c r="E4" s="71">
        <f t="shared" si="4"/>
        <v>0.1449138260577684</v>
      </c>
      <c r="F4" s="71">
        <f t="shared" si="5"/>
        <v>0.14000366243902387</v>
      </c>
      <c r="G4" s="71">
        <f t="shared" si="6"/>
        <v>1.0350694444444444</v>
      </c>
      <c r="Z4" s="76" t="s">
        <v>42</v>
      </c>
      <c r="AA4" s="76" t="s">
        <v>4</v>
      </c>
      <c r="AB4" s="76" t="s">
        <v>150</v>
      </c>
      <c r="AC4" s="76" t="s">
        <v>154</v>
      </c>
      <c r="AD4" s="76" t="s">
        <v>155</v>
      </c>
      <c r="AE4" s="85"/>
      <c r="AF4" s="76" t="s">
        <v>42</v>
      </c>
      <c r="AG4" s="78" t="s">
        <v>152</v>
      </c>
      <c r="AH4" s="76" t="s">
        <v>149</v>
      </c>
      <c r="AI4" s="76" t="s">
        <v>164</v>
      </c>
    </row>
    <row r="5" spans="1:35" x14ac:dyDescent="0.25">
      <c r="A5" s="69">
        <f t="shared" si="3"/>
        <v>43252</v>
      </c>
      <c r="B5" s="70" t="e">
        <f t="shared" si="0"/>
        <v>#N/A</v>
      </c>
      <c r="C5" s="71" t="str">
        <f t="shared" si="1"/>
        <v>Story Point</v>
      </c>
      <c r="D5" s="71" t="str">
        <f t="shared" si="2"/>
        <v>SP/PH</v>
      </c>
      <c r="E5" s="71">
        <f t="shared" si="4"/>
        <v>0.14350574974283251</v>
      </c>
      <c r="F5" s="71">
        <f t="shared" si="5"/>
        <v>0.14000580442947802</v>
      </c>
      <c r="G5" s="71">
        <f t="shared" si="6"/>
        <v>1.0249999999999999</v>
      </c>
      <c r="Z5" s="121">
        <v>43252</v>
      </c>
      <c r="AA5" s="80" t="s">
        <v>170</v>
      </c>
      <c r="AB5" s="81">
        <v>0.1476644574840188</v>
      </c>
      <c r="AC5" s="81">
        <v>0.14000745509515727</v>
      </c>
      <c r="AD5" s="81">
        <v>1.0546875</v>
      </c>
      <c r="AE5" s="85"/>
      <c r="AF5" s="77">
        <f>IF(Z5="","",$Z5)</f>
        <v>43252</v>
      </c>
      <c r="AG5" s="82" t="e">
        <f>IF(OR(AA5="",AA5="Grand Total"),"",VLOOKUP(AA5,'Team Details'!B:C,2,0))</f>
        <v>#N/A</v>
      </c>
      <c r="AH5" s="81" t="str">
        <f>IF(OR(AA5="",AA5="Grand Total"),"",(IF(OR('Setup Parameters'!$C$6 = "SW Agile",'Setup Parameters'!$I$6 = "SW Agile"),"Story Point","Complexity Point")))</f>
        <v>Story Point</v>
      </c>
      <c r="AI5" s="81" t="str">
        <f>IF(AH5="","",IF(AH5="Story Point","SP/PH","CP/PH"))</f>
        <v>SP/PH</v>
      </c>
    </row>
    <row r="6" spans="1:35" x14ac:dyDescent="0.25">
      <c r="A6" s="69">
        <f t="shared" si="3"/>
        <v>43252</v>
      </c>
      <c r="B6" s="70" t="e">
        <f t="shared" si="0"/>
        <v>#N/A</v>
      </c>
      <c r="C6" s="71" t="str">
        <f t="shared" si="1"/>
        <v>Story Point</v>
      </c>
      <c r="D6" s="71" t="str">
        <f t="shared" si="2"/>
        <v>SP/PH</v>
      </c>
      <c r="E6" s="71">
        <f t="shared" si="4"/>
        <v>0.15004041594419321</v>
      </c>
      <c r="F6" s="71">
        <f t="shared" si="5"/>
        <v>0.13999720008987337</v>
      </c>
      <c r="G6" s="71">
        <f t="shared" si="6"/>
        <v>1.0717391304347825</v>
      </c>
      <c r="Z6" s="121">
        <v>43252</v>
      </c>
      <c r="AA6" s="80" t="s">
        <v>195</v>
      </c>
      <c r="AB6" s="81">
        <v>0.14253886979796704</v>
      </c>
      <c r="AC6" s="81">
        <v>0.14000551585768936</v>
      </c>
      <c r="AD6" s="81">
        <v>1.0180952380952382</v>
      </c>
      <c r="AE6" s="85"/>
      <c r="AF6" s="77">
        <f t="shared" ref="AF6:AF69" si="7">IF(Z6="","",$Z6)</f>
        <v>43252</v>
      </c>
      <c r="AG6" s="82" t="e">
        <f>IF(OR(AA6="",AA6="Grand Total"),"",VLOOKUP(AA6,'Team Details'!B:C,2,0))</f>
        <v>#N/A</v>
      </c>
      <c r="AH6" s="81" t="str">
        <f>IF(OR(AA6="",AA6="Grand Total"),"",(IF(OR('Setup Parameters'!$C$6 = "SW Agile",'Setup Parameters'!$I$6 = "SW Agile"),"Story Point","Complexity Point")))</f>
        <v>Story Point</v>
      </c>
      <c r="AI6" s="81" t="str">
        <f t="shared" ref="AI6:AI69" si="8">IF(AH6="","",IF(AH6="Story Point","SP/PH","CP/PH"))</f>
        <v>SP/PH</v>
      </c>
    </row>
    <row r="7" spans="1:35" x14ac:dyDescent="0.25">
      <c r="A7" s="69">
        <f t="shared" si="3"/>
        <v>43252</v>
      </c>
      <c r="B7" s="70" t="e">
        <f t="shared" si="0"/>
        <v>#N/A</v>
      </c>
      <c r="C7" s="71" t="str">
        <f t="shared" si="1"/>
        <v>Story Point</v>
      </c>
      <c r="D7" s="71" t="str">
        <f t="shared" si="2"/>
        <v>SP/PH</v>
      </c>
      <c r="E7" s="71">
        <f t="shared" si="4"/>
        <v>0.14583123339428594</v>
      </c>
      <c r="F7" s="71">
        <f t="shared" si="5"/>
        <v>0.13999792598676331</v>
      </c>
      <c r="G7" s="71">
        <f t="shared" si="6"/>
        <v>1.0416666666666667</v>
      </c>
      <c r="Z7" s="121">
        <v>43252</v>
      </c>
      <c r="AA7" s="80" t="s">
        <v>171</v>
      </c>
      <c r="AB7" s="81">
        <v>0.1449138260577684</v>
      </c>
      <c r="AC7" s="81">
        <v>0.14000366243902387</v>
      </c>
      <c r="AD7" s="81">
        <v>1.0350694444444444</v>
      </c>
      <c r="AE7" s="85"/>
      <c r="AF7" s="77">
        <f t="shared" si="7"/>
        <v>43252</v>
      </c>
      <c r="AG7" s="82" t="e">
        <f>IF(OR(AA7="",AA7="Grand Total"),"",VLOOKUP(AA7,'Team Details'!B:C,2,0))</f>
        <v>#N/A</v>
      </c>
      <c r="AH7" s="81" t="str">
        <f>IF(OR(AA7="",AA7="Grand Total"),"",(IF(OR('Setup Parameters'!$C$6 = "SW Agile",'Setup Parameters'!$I$6 = "SW Agile"),"Story Point","Complexity Point")))</f>
        <v>Story Point</v>
      </c>
      <c r="AI7" s="81" t="str">
        <f t="shared" si="8"/>
        <v>SP/PH</v>
      </c>
    </row>
    <row r="8" spans="1:35" x14ac:dyDescent="0.25">
      <c r="A8" s="69">
        <f t="shared" si="3"/>
        <v>43252</v>
      </c>
      <c r="B8" s="70" t="e">
        <f t="shared" si="0"/>
        <v>#N/A</v>
      </c>
      <c r="C8" s="71" t="str">
        <f t="shared" si="1"/>
        <v>Story Point</v>
      </c>
      <c r="D8" s="71" t="str">
        <f t="shared" si="2"/>
        <v>SP/PH</v>
      </c>
      <c r="E8" s="71">
        <f t="shared" si="4"/>
        <v>0.13999937778054317</v>
      </c>
      <c r="F8" s="71">
        <f t="shared" si="5"/>
        <v>0.13999937778054317</v>
      </c>
      <c r="G8" s="71">
        <f t="shared" si="6"/>
        <v>1</v>
      </c>
      <c r="Z8" s="121">
        <v>43252</v>
      </c>
      <c r="AA8" s="80" t="s">
        <v>172</v>
      </c>
      <c r="AB8" s="81">
        <v>0.14350574974283251</v>
      </c>
      <c r="AC8" s="81">
        <v>0.14000580442947802</v>
      </c>
      <c r="AD8" s="81">
        <v>1.0249999999999999</v>
      </c>
      <c r="AE8" s="85"/>
      <c r="AF8" s="77">
        <f t="shared" si="7"/>
        <v>43252</v>
      </c>
      <c r="AG8" s="82" t="e">
        <f>IF(OR(AA8="",AA8="Grand Total"),"",VLOOKUP(AA8,'Team Details'!B:C,2,0))</f>
        <v>#N/A</v>
      </c>
      <c r="AH8" s="81" t="str">
        <f>IF(OR(AA8="",AA8="Grand Total"),"",(IF(OR('Setup Parameters'!$C$6 = "SW Agile",'Setup Parameters'!$I$6 = "SW Agile"),"Story Point","Complexity Point")))</f>
        <v>Story Point</v>
      </c>
      <c r="AI8" s="81" t="str">
        <f t="shared" si="8"/>
        <v>SP/PH</v>
      </c>
    </row>
    <row r="9" spans="1:35" x14ac:dyDescent="0.25">
      <c r="A9" s="69">
        <f t="shared" si="3"/>
        <v>43252</v>
      </c>
      <c r="B9" s="70" t="e">
        <f t="shared" si="0"/>
        <v>#N/A</v>
      </c>
      <c r="C9" s="71" t="str">
        <f t="shared" si="1"/>
        <v>Story Point</v>
      </c>
      <c r="D9" s="71" t="str">
        <f t="shared" si="2"/>
        <v>SP/PH</v>
      </c>
      <c r="E9" s="71">
        <f t="shared" si="4"/>
        <v>0.14000134639512507</v>
      </c>
      <c r="F9" s="71">
        <f t="shared" si="5"/>
        <v>0.14000134639512507</v>
      </c>
      <c r="G9" s="71">
        <f t="shared" si="6"/>
        <v>1</v>
      </c>
      <c r="Z9" s="121">
        <v>43252</v>
      </c>
      <c r="AA9" s="80" t="s">
        <v>173</v>
      </c>
      <c r="AB9" s="81">
        <v>0.15004041594419321</v>
      </c>
      <c r="AC9" s="81">
        <v>0.13999720008987337</v>
      </c>
      <c r="AD9" s="81">
        <v>1.0717391304347825</v>
      </c>
      <c r="AE9" s="85"/>
      <c r="AF9" s="77">
        <f t="shared" si="7"/>
        <v>43252</v>
      </c>
      <c r="AG9" s="82" t="e">
        <f>IF(OR(AA9="",AA9="Grand Total"),"",VLOOKUP(AA9,'Team Details'!B:C,2,0))</f>
        <v>#N/A</v>
      </c>
      <c r="AH9" s="81" t="str">
        <f>IF(OR(AA9="",AA9="Grand Total"),"",(IF(OR('Setup Parameters'!$C$6 = "SW Agile",'Setup Parameters'!$I$6 = "SW Agile"),"Story Point","Complexity Point")))</f>
        <v>Story Point</v>
      </c>
      <c r="AI9" s="81" t="str">
        <f t="shared" si="8"/>
        <v>SP/PH</v>
      </c>
    </row>
    <row r="10" spans="1:35" x14ac:dyDescent="0.25">
      <c r="A10" s="69">
        <f t="shared" si="3"/>
        <v>43252</v>
      </c>
      <c r="B10" s="70" t="e">
        <f t="shared" si="0"/>
        <v>#N/A</v>
      </c>
      <c r="C10" s="71" t="str">
        <f t="shared" si="1"/>
        <v>Story Point</v>
      </c>
      <c r="D10" s="71" t="str">
        <f t="shared" si="2"/>
        <v>SP/PH</v>
      </c>
      <c r="E10" s="71">
        <f t="shared" si="4"/>
        <v>0.1411959537493456</v>
      </c>
      <c r="F10" s="71">
        <f t="shared" si="5"/>
        <v>0.13999937787087943</v>
      </c>
      <c r="G10" s="71">
        <f t="shared" si="6"/>
        <v>1.0085470085470085</v>
      </c>
      <c r="Z10" s="121">
        <v>43252</v>
      </c>
      <c r="AA10" s="80" t="s">
        <v>174</v>
      </c>
      <c r="AB10" s="81">
        <v>0.14583123339428594</v>
      </c>
      <c r="AC10" s="81">
        <v>0.13999792598676331</v>
      </c>
      <c r="AD10" s="81">
        <v>1.0416666666666667</v>
      </c>
      <c r="AE10" s="85"/>
      <c r="AF10" s="77">
        <f t="shared" si="7"/>
        <v>43252</v>
      </c>
      <c r="AG10" s="82" t="e">
        <f>IF(OR(AA10="",AA10="Grand Total"),"",VLOOKUP(AA10,'Team Details'!B:C,2,0))</f>
        <v>#N/A</v>
      </c>
      <c r="AH10" s="81" t="str">
        <f>IF(OR(AA10="",AA10="Grand Total"),"",(IF(OR('Setup Parameters'!$C$6 = "SW Agile",'Setup Parameters'!$I$6 = "SW Agile"),"Story Point","Complexity Point")))</f>
        <v>Story Point</v>
      </c>
      <c r="AI10" s="81" t="str">
        <f t="shared" si="8"/>
        <v>SP/PH</v>
      </c>
    </row>
    <row r="11" spans="1:35" x14ac:dyDescent="0.25">
      <c r="A11" s="69">
        <f t="shared" si="3"/>
        <v>43252</v>
      </c>
      <c r="B11" s="70" t="e">
        <f t="shared" si="0"/>
        <v>#N/A</v>
      </c>
      <c r="C11" s="71" t="str">
        <f t="shared" si="1"/>
        <v>Story Point</v>
      </c>
      <c r="D11" s="71" t="str">
        <f t="shared" si="2"/>
        <v>SP/PH</v>
      </c>
      <c r="E11" s="71">
        <f t="shared" si="4"/>
        <v>0.13999937778054317</v>
      </c>
      <c r="F11" s="71">
        <f t="shared" si="5"/>
        <v>0.13999937778054317</v>
      </c>
      <c r="G11" s="71">
        <f t="shared" si="6"/>
        <v>1</v>
      </c>
      <c r="Z11" s="121">
        <v>43252</v>
      </c>
      <c r="AA11" s="80" t="s">
        <v>175</v>
      </c>
      <c r="AB11" s="81">
        <v>0.13999937778054317</v>
      </c>
      <c r="AC11" s="81">
        <v>0.13999937778054317</v>
      </c>
      <c r="AD11" s="81">
        <v>1</v>
      </c>
      <c r="AF11" s="77">
        <f t="shared" si="7"/>
        <v>43252</v>
      </c>
      <c r="AG11" s="82" t="e">
        <f>IF(OR(AA11="",AA11="Grand Total"),"",VLOOKUP(AA11,'Team Details'!B:C,2,0))</f>
        <v>#N/A</v>
      </c>
      <c r="AH11" s="81" t="str">
        <f>IF(OR(AA11="",AA11="Grand Total"),"",(IF(OR('Setup Parameters'!$C$6 = "SW Agile",'Setup Parameters'!$I$6 = "SW Agile"),"Story Point","Complexity Point")))</f>
        <v>Story Point</v>
      </c>
      <c r="AI11" s="81" t="str">
        <f t="shared" si="8"/>
        <v>SP/PH</v>
      </c>
    </row>
    <row r="12" spans="1:35" x14ac:dyDescent="0.25">
      <c r="A12" s="69">
        <f t="shared" si="3"/>
        <v>43252</v>
      </c>
      <c r="B12" s="70" t="e">
        <f t="shared" si="0"/>
        <v>#N/A</v>
      </c>
      <c r="C12" s="71" t="str">
        <f t="shared" si="1"/>
        <v>Story Point</v>
      </c>
      <c r="D12" s="71" t="str">
        <f t="shared" si="2"/>
        <v>SP/PH</v>
      </c>
      <c r="E12" s="71">
        <f t="shared" si="4"/>
        <v>0.14411700653879445</v>
      </c>
      <c r="F12" s="71">
        <f t="shared" si="5"/>
        <v>0.13999937778054317</v>
      </c>
      <c r="G12" s="71">
        <f t="shared" si="6"/>
        <v>1.0294117647058825</v>
      </c>
      <c r="Z12" s="121">
        <v>43252</v>
      </c>
      <c r="AA12" s="80" t="s">
        <v>176</v>
      </c>
      <c r="AB12" s="81">
        <v>0.14000134639512507</v>
      </c>
      <c r="AC12" s="81">
        <v>0.14000134639512507</v>
      </c>
      <c r="AD12" s="81">
        <v>1</v>
      </c>
      <c r="AF12" s="77">
        <f t="shared" si="7"/>
        <v>43252</v>
      </c>
      <c r="AG12" s="82" t="e">
        <f>IF(OR(AA12="",AA12="Grand Total"),"",VLOOKUP(AA12,'Team Details'!B:C,2,0))</f>
        <v>#N/A</v>
      </c>
      <c r="AH12" s="81" t="str">
        <f>IF(OR(AA12="",AA12="Grand Total"),"",(IF(OR('Setup Parameters'!$C$6 = "SW Agile",'Setup Parameters'!$I$6 = "SW Agile"),"Story Point","Complexity Point")))</f>
        <v>Story Point</v>
      </c>
      <c r="AI12" s="81" t="str">
        <f t="shared" si="8"/>
        <v>SP/PH</v>
      </c>
    </row>
    <row r="13" spans="1:35" x14ac:dyDescent="0.25">
      <c r="A13" s="69">
        <f t="shared" si="3"/>
        <v>43252</v>
      </c>
      <c r="B13" s="70" t="e">
        <f t="shared" si="0"/>
        <v>#N/A</v>
      </c>
      <c r="C13" s="71" t="str">
        <f t="shared" si="1"/>
        <v>Story Point</v>
      </c>
      <c r="D13" s="71" t="str">
        <f t="shared" si="2"/>
        <v>SP/PH</v>
      </c>
      <c r="E13" s="71">
        <f t="shared" si="4"/>
        <v>0.14851059576504524</v>
      </c>
      <c r="F13" s="71">
        <f t="shared" si="5"/>
        <v>0.14000082966465929</v>
      </c>
      <c r="G13" s="71">
        <f t="shared" si="6"/>
        <v>1.0607843137254902</v>
      </c>
      <c r="Z13" s="121">
        <v>43252</v>
      </c>
      <c r="AA13" s="80" t="s">
        <v>177</v>
      </c>
      <c r="AB13" s="81">
        <v>0.1411959537493456</v>
      </c>
      <c r="AC13" s="81">
        <v>0.13999937787087943</v>
      </c>
      <c r="AD13" s="81">
        <v>1.0085470085470085</v>
      </c>
      <c r="AF13" s="77">
        <f t="shared" si="7"/>
        <v>43252</v>
      </c>
      <c r="AG13" s="82" t="e">
        <f>IF(OR(AA13="",AA13="Grand Total"),"",VLOOKUP(AA13,'Team Details'!B:C,2,0))</f>
        <v>#N/A</v>
      </c>
      <c r="AH13" s="81" t="str">
        <f>IF(OR(AA13="",AA13="Grand Total"),"",(IF(OR('Setup Parameters'!$C$6 = "SW Agile",'Setup Parameters'!$I$6 = "SW Agile"),"Story Point","Complexity Point")))</f>
        <v>Story Point</v>
      </c>
      <c r="AI13" s="81" t="str">
        <f t="shared" si="8"/>
        <v>SP/PH</v>
      </c>
    </row>
    <row r="14" spans="1:35" x14ac:dyDescent="0.25">
      <c r="A14" s="69">
        <f t="shared" si="3"/>
        <v>43252</v>
      </c>
      <c r="B14" s="70" t="e">
        <f t="shared" si="0"/>
        <v>#N/A</v>
      </c>
      <c r="C14" s="71" t="str">
        <f t="shared" si="1"/>
        <v>Story Point</v>
      </c>
      <c r="D14" s="71" t="str">
        <f t="shared" si="2"/>
        <v>SP/PH</v>
      </c>
      <c r="E14" s="71">
        <f t="shared" si="4"/>
        <v>0.14110823740284445</v>
      </c>
      <c r="F14" s="71">
        <f t="shared" si="5"/>
        <v>0.13999720036086949</v>
      </c>
      <c r="G14" s="71">
        <f t="shared" si="6"/>
        <v>1.0079365079365079</v>
      </c>
      <c r="Z14" s="121">
        <v>43252</v>
      </c>
      <c r="AA14" s="80" t="s">
        <v>178</v>
      </c>
      <c r="AB14" s="81">
        <v>0.13999937778054317</v>
      </c>
      <c r="AC14" s="81">
        <v>0.13999937778054317</v>
      </c>
      <c r="AD14" s="81">
        <v>1</v>
      </c>
      <c r="AF14" s="77">
        <f t="shared" si="7"/>
        <v>43252</v>
      </c>
      <c r="AG14" s="82" t="e">
        <f>IF(OR(AA14="",AA14="Grand Total"),"",VLOOKUP(AA14,'Team Details'!B:C,2,0))</f>
        <v>#N/A</v>
      </c>
      <c r="AH14" s="81" t="str">
        <f>IF(OR(AA14="",AA14="Grand Total"),"",(IF(OR('Setup Parameters'!$C$6 = "SW Agile",'Setup Parameters'!$I$6 = "SW Agile"),"Story Point","Complexity Point")))</f>
        <v>Story Point</v>
      </c>
      <c r="AI14" s="81" t="str">
        <f t="shared" si="8"/>
        <v>SP/PH</v>
      </c>
    </row>
    <row r="15" spans="1:35" x14ac:dyDescent="0.25">
      <c r="A15" s="69">
        <f t="shared" si="3"/>
        <v>43252</v>
      </c>
      <c r="B15" s="70" t="e">
        <f t="shared" si="0"/>
        <v>#N/A</v>
      </c>
      <c r="C15" s="71" t="str">
        <f t="shared" si="1"/>
        <v>Story Point</v>
      </c>
      <c r="D15" s="71" t="str">
        <f t="shared" si="2"/>
        <v>SP/PH</v>
      </c>
      <c r="E15" s="71">
        <f t="shared" si="4"/>
        <v>0.14000308548150783</v>
      </c>
      <c r="F15" s="71">
        <f t="shared" si="5"/>
        <v>0.14000308548150783</v>
      </c>
      <c r="G15" s="71">
        <f t="shared" si="6"/>
        <v>1</v>
      </c>
      <c r="Z15" s="121">
        <v>43252</v>
      </c>
      <c r="AA15" s="80" t="s">
        <v>179</v>
      </c>
      <c r="AB15" s="81">
        <v>0.14411700653879445</v>
      </c>
      <c r="AC15" s="81">
        <v>0.13999937778054317</v>
      </c>
      <c r="AD15" s="81">
        <v>1.0294117647058825</v>
      </c>
      <c r="AF15" s="77">
        <f t="shared" si="7"/>
        <v>43252</v>
      </c>
      <c r="AG15" s="82" t="e">
        <f>IF(OR(AA15="",AA15="Grand Total"),"",VLOOKUP(AA15,'Team Details'!B:C,2,0))</f>
        <v>#N/A</v>
      </c>
      <c r="AH15" s="81" t="str">
        <f>IF(OR(AA15="",AA15="Grand Total"),"",(IF(OR('Setup Parameters'!$C$6 = "SW Agile",'Setup Parameters'!$I$6 = "SW Agile"),"Story Point","Complexity Point")))</f>
        <v>Story Point</v>
      </c>
      <c r="AI15" s="81" t="str">
        <f t="shared" si="8"/>
        <v>SP/PH</v>
      </c>
    </row>
    <row r="16" spans="1:35" x14ac:dyDescent="0.25">
      <c r="A16" s="69">
        <f t="shared" si="3"/>
        <v>43252</v>
      </c>
      <c r="B16" s="70" t="e">
        <f t="shared" si="0"/>
        <v>#N/A</v>
      </c>
      <c r="C16" s="71" t="str">
        <f t="shared" si="1"/>
        <v>Story Point</v>
      </c>
      <c r="D16" s="71" t="str">
        <f t="shared" si="2"/>
        <v>SP/PH</v>
      </c>
      <c r="E16" s="71">
        <f t="shared" si="4"/>
        <v>0.13999808483540796</v>
      </c>
      <c r="F16" s="71">
        <f t="shared" si="5"/>
        <v>0.13999808483540796</v>
      </c>
      <c r="G16" s="71">
        <f t="shared" si="6"/>
        <v>1</v>
      </c>
      <c r="Z16" s="121">
        <v>43252</v>
      </c>
      <c r="AA16" s="80" t="s">
        <v>180</v>
      </c>
      <c r="AB16" s="81">
        <v>0.14851059576504524</v>
      </c>
      <c r="AC16" s="81">
        <v>0.14000082966465929</v>
      </c>
      <c r="AD16" s="81">
        <v>1.0607843137254902</v>
      </c>
      <c r="AF16" s="77">
        <f t="shared" si="7"/>
        <v>43252</v>
      </c>
      <c r="AG16" s="82" t="e">
        <f>IF(OR(AA16="",AA16="Grand Total"),"",VLOOKUP(AA16,'Team Details'!B:C,2,0))</f>
        <v>#N/A</v>
      </c>
      <c r="AH16" s="81" t="str">
        <f>IF(OR(AA16="",AA16="Grand Total"),"",(IF(OR('Setup Parameters'!$C$6 = "SW Agile",'Setup Parameters'!$I$6 = "SW Agile"),"Story Point","Complexity Point")))</f>
        <v>Story Point</v>
      </c>
      <c r="AI16" s="81" t="str">
        <f t="shared" si="8"/>
        <v>SP/PH</v>
      </c>
    </row>
    <row r="17" spans="1:35" x14ac:dyDescent="0.25">
      <c r="A17" s="69">
        <f t="shared" si="3"/>
        <v>43252</v>
      </c>
      <c r="B17" s="70" t="e">
        <f t="shared" si="0"/>
        <v>#N/A</v>
      </c>
      <c r="C17" s="71" t="str">
        <f t="shared" si="1"/>
        <v>Story Point</v>
      </c>
      <c r="D17" s="71" t="str">
        <f t="shared" si="2"/>
        <v>SP/PH</v>
      </c>
      <c r="E17" s="71">
        <f t="shared" si="4"/>
        <v>0.1447321641744152</v>
      </c>
      <c r="F17" s="71">
        <f t="shared" si="5"/>
        <v>0.14000322962083983</v>
      </c>
      <c r="G17" s="71">
        <f t="shared" si="6"/>
        <v>1.0337777777777777</v>
      </c>
      <c r="Z17" s="121">
        <v>43252</v>
      </c>
      <c r="AA17" s="80" t="s">
        <v>181</v>
      </c>
      <c r="AB17" s="81">
        <v>0.14110823740284445</v>
      </c>
      <c r="AC17" s="81">
        <v>0.13999720036086949</v>
      </c>
      <c r="AD17" s="81">
        <v>1.0079365079365079</v>
      </c>
      <c r="AF17" s="77">
        <f t="shared" si="7"/>
        <v>43252</v>
      </c>
      <c r="AG17" s="82" t="e">
        <f>IF(OR(AA17="",AA17="Grand Total"),"",VLOOKUP(AA17,'Team Details'!B:C,2,0))</f>
        <v>#N/A</v>
      </c>
      <c r="AH17" s="81" t="str">
        <f>IF(OR(AA17="",AA17="Grand Total"),"",(IF(OR('Setup Parameters'!$C$6 = "SW Agile",'Setup Parameters'!$I$6 = "SW Agile"),"Story Point","Complexity Point")))</f>
        <v>Story Point</v>
      </c>
      <c r="AI17" s="81" t="str">
        <f t="shared" si="8"/>
        <v>SP/PH</v>
      </c>
    </row>
    <row r="18" spans="1:35" x14ac:dyDescent="0.25">
      <c r="A18" s="69">
        <f t="shared" si="3"/>
        <v>43252</v>
      </c>
      <c r="B18" s="70" t="e">
        <f t="shared" si="0"/>
        <v>#N/A</v>
      </c>
      <c r="C18" s="71" t="str">
        <f t="shared" si="1"/>
        <v>Story Point</v>
      </c>
      <c r="D18" s="71" t="str">
        <f t="shared" si="2"/>
        <v>SP/PH</v>
      </c>
      <c r="E18" s="71">
        <f t="shared" si="4"/>
        <v>0.14621688583949635</v>
      </c>
      <c r="F18" s="71">
        <f t="shared" si="5"/>
        <v>0.13999589236492582</v>
      </c>
      <c r="G18" s="71">
        <f t="shared" si="6"/>
        <v>1.0444444444444445</v>
      </c>
      <c r="Z18" s="121">
        <v>43252</v>
      </c>
      <c r="AA18" s="80" t="s">
        <v>182</v>
      </c>
      <c r="AB18" s="81">
        <v>0.14000308548150783</v>
      </c>
      <c r="AC18" s="81">
        <v>0.14000308548150783</v>
      </c>
      <c r="AD18" s="81">
        <v>1</v>
      </c>
      <c r="AF18" s="77">
        <f t="shared" si="7"/>
        <v>43252</v>
      </c>
      <c r="AG18" s="82" t="e">
        <f>IF(OR(AA18="",AA18="Grand Total"),"",VLOOKUP(AA18,'Team Details'!B:C,2,0))</f>
        <v>#N/A</v>
      </c>
      <c r="AH18" s="81" t="str">
        <f>IF(OR(AA18="",AA18="Grand Total"),"",(IF(OR('Setup Parameters'!$C$6 = "SW Agile",'Setup Parameters'!$I$6 = "SW Agile"),"Story Point","Complexity Point")))</f>
        <v>Story Point</v>
      </c>
      <c r="AI18" s="81" t="str">
        <f t="shared" si="8"/>
        <v>SP/PH</v>
      </c>
    </row>
    <row r="19" spans="1:35" x14ac:dyDescent="0.25">
      <c r="A19" s="69">
        <f t="shared" si="3"/>
        <v>43252</v>
      </c>
      <c r="B19" s="70" t="e">
        <f t="shared" si="0"/>
        <v>#N/A</v>
      </c>
      <c r="C19" s="71" t="str">
        <f t="shared" si="1"/>
        <v>Story Point</v>
      </c>
      <c r="D19" s="71" t="str">
        <f t="shared" si="2"/>
        <v>SP/PH</v>
      </c>
      <c r="E19" s="71">
        <f t="shared" si="4"/>
        <v>0.14000177261416846</v>
      </c>
      <c r="F19" s="71">
        <f t="shared" si="5"/>
        <v>0.14000177261416846</v>
      </c>
      <c r="G19" s="71">
        <f t="shared" si="6"/>
        <v>1</v>
      </c>
      <c r="Z19" s="121">
        <v>43252</v>
      </c>
      <c r="AA19" s="80" t="s">
        <v>183</v>
      </c>
      <c r="AB19" s="81">
        <v>0.13999808483540796</v>
      </c>
      <c r="AC19" s="81">
        <v>0.13999808483540796</v>
      </c>
      <c r="AD19" s="81">
        <v>1</v>
      </c>
      <c r="AF19" s="77">
        <f t="shared" si="7"/>
        <v>43252</v>
      </c>
      <c r="AG19" s="82" t="e">
        <f>IF(OR(AA19="",AA19="Grand Total"),"",VLOOKUP(AA19,'Team Details'!B:C,2,0))</f>
        <v>#N/A</v>
      </c>
      <c r="AH19" s="81" t="str">
        <f>IF(OR(AA19="",AA19="Grand Total"),"",(IF(OR('Setup Parameters'!$C$6 = "SW Agile",'Setup Parameters'!$I$6 = "SW Agile"),"Story Point","Complexity Point")))</f>
        <v>Story Point</v>
      </c>
      <c r="AI19" s="81" t="str">
        <f t="shared" si="8"/>
        <v>SP/PH</v>
      </c>
    </row>
    <row r="20" spans="1:35" x14ac:dyDescent="0.25">
      <c r="A20" s="69">
        <f t="shared" si="3"/>
        <v>43252</v>
      </c>
      <c r="B20" s="70" t="e">
        <f t="shared" si="0"/>
        <v>#N/A</v>
      </c>
      <c r="C20" s="71" t="str">
        <f t="shared" si="1"/>
        <v>Story Point</v>
      </c>
      <c r="D20" s="71" t="str">
        <f t="shared" si="2"/>
        <v>SP/PH</v>
      </c>
      <c r="E20" s="71">
        <f t="shared" si="4"/>
        <v>0.140001167945139</v>
      </c>
      <c r="F20" s="71">
        <f t="shared" si="5"/>
        <v>0.140001167945139</v>
      </c>
      <c r="G20" s="71">
        <f t="shared" si="6"/>
        <v>1</v>
      </c>
      <c r="Z20" s="121">
        <v>43252</v>
      </c>
      <c r="AA20" s="80" t="s">
        <v>184</v>
      </c>
      <c r="AB20" s="81">
        <v>0.1447321641744152</v>
      </c>
      <c r="AC20" s="81">
        <v>0.14000322962083983</v>
      </c>
      <c r="AD20" s="81">
        <v>1.0337777777777777</v>
      </c>
      <c r="AF20" s="77">
        <f t="shared" si="7"/>
        <v>43252</v>
      </c>
      <c r="AG20" s="82" t="e">
        <f>IF(OR(AA20="",AA20="Grand Total"),"",VLOOKUP(AA20,'Team Details'!B:C,2,0))</f>
        <v>#N/A</v>
      </c>
      <c r="AH20" s="81" t="str">
        <f>IF(OR(AA20="",AA20="Grand Total"),"",(IF(OR('Setup Parameters'!$C$6 = "SW Agile",'Setup Parameters'!$I$6 = "SW Agile"),"Story Point","Complexity Point")))</f>
        <v>Story Point</v>
      </c>
      <c r="AI20" s="81" t="str">
        <f t="shared" si="8"/>
        <v>SP/PH</v>
      </c>
    </row>
    <row r="21" spans="1:35" x14ac:dyDescent="0.25">
      <c r="A21" s="69">
        <f t="shared" si="3"/>
        <v>43252</v>
      </c>
      <c r="B21" s="70" t="e">
        <f t="shared" si="0"/>
        <v>#N/A</v>
      </c>
      <c r="C21" s="71" t="str">
        <f t="shared" si="1"/>
        <v>Story Point</v>
      </c>
      <c r="D21" s="71" t="str">
        <f t="shared" si="2"/>
        <v>SP/PH</v>
      </c>
      <c r="E21" s="71">
        <f t="shared" si="4"/>
        <v>0.1415063138367304</v>
      </c>
      <c r="F21" s="71">
        <f t="shared" si="5"/>
        <v>0.14000625524069149</v>
      </c>
      <c r="G21" s="71">
        <f t="shared" si="6"/>
        <v>1.0107142857142857</v>
      </c>
      <c r="Z21" s="121">
        <v>43252</v>
      </c>
      <c r="AA21" s="80" t="s">
        <v>185</v>
      </c>
      <c r="AB21" s="81">
        <v>0.14621688583949635</v>
      </c>
      <c r="AC21" s="81">
        <v>0.13999589236492582</v>
      </c>
      <c r="AD21" s="81">
        <v>1.0444444444444445</v>
      </c>
      <c r="AF21" s="77">
        <f t="shared" si="7"/>
        <v>43252</v>
      </c>
      <c r="AG21" s="82" t="e">
        <f>IF(OR(AA21="",AA21="Grand Total"),"",VLOOKUP(AA21,'Team Details'!B:C,2,0))</f>
        <v>#N/A</v>
      </c>
      <c r="AH21" s="81" t="str">
        <f>IF(OR(AA21="",AA21="Grand Total"),"",(IF(OR('Setup Parameters'!$C$6 = "SW Agile",'Setup Parameters'!$I$6 = "SW Agile"),"Story Point","Complexity Point")))</f>
        <v>Story Point</v>
      </c>
      <c r="AI21" s="81" t="str">
        <f t="shared" si="8"/>
        <v>SP/PH</v>
      </c>
    </row>
    <row r="22" spans="1:35" x14ac:dyDescent="0.25">
      <c r="A22" s="69">
        <f t="shared" si="3"/>
        <v>43252</v>
      </c>
      <c r="B22" s="70" t="e">
        <f t="shared" si="0"/>
        <v>#N/A</v>
      </c>
      <c r="C22" s="71" t="str">
        <f t="shared" si="1"/>
        <v>Story Point</v>
      </c>
      <c r="D22" s="71" t="str">
        <f t="shared" si="2"/>
        <v>SP/PH</v>
      </c>
      <c r="E22" s="71">
        <f t="shared" si="4"/>
        <v>0.15050053856402168</v>
      </c>
      <c r="F22" s="71">
        <f t="shared" si="5"/>
        <v>0.1400001283917493</v>
      </c>
      <c r="G22" s="71">
        <f t="shared" si="6"/>
        <v>1.075</v>
      </c>
      <c r="Z22" s="121">
        <v>43252</v>
      </c>
      <c r="AA22" s="80" t="s">
        <v>186</v>
      </c>
      <c r="AB22" s="81">
        <v>0.14000177261416846</v>
      </c>
      <c r="AC22" s="81">
        <v>0.14000177261416846</v>
      </c>
      <c r="AD22" s="81">
        <v>1</v>
      </c>
      <c r="AF22" s="77">
        <f t="shared" si="7"/>
        <v>43252</v>
      </c>
      <c r="AG22" s="82" t="e">
        <f>IF(OR(AA22="",AA22="Grand Total"),"",VLOOKUP(AA22,'Team Details'!B:C,2,0))</f>
        <v>#N/A</v>
      </c>
      <c r="AH22" s="81" t="str">
        <f>IF(OR(AA22="",AA22="Grand Total"),"",(IF(OR('Setup Parameters'!$C$6 = "SW Agile",'Setup Parameters'!$I$6 = "SW Agile"),"Story Point","Complexity Point")))</f>
        <v>Story Point</v>
      </c>
      <c r="AI22" s="81" t="str">
        <f t="shared" si="8"/>
        <v>SP/PH</v>
      </c>
    </row>
    <row r="23" spans="1:35" x14ac:dyDescent="0.25">
      <c r="A23" s="69">
        <f t="shared" si="3"/>
        <v>43252</v>
      </c>
      <c r="B23" s="70" t="e">
        <f t="shared" si="0"/>
        <v>#N/A</v>
      </c>
      <c r="C23" s="71" t="str">
        <f t="shared" si="1"/>
        <v>Story Point</v>
      </c>
      <c r="D23" s="71" t="str">
        <f t="shared" si="2"/>
        <v>SP/PH</v>
      </c>
      <c r="E23" s="71">
        <f t="shared" si="4"/>
        <v>0.14621504313461531</v>
      </c>
      <c r="F23" s="71">
        <f t="shared" si="5"/>
        <v>0.13999317986454002</v>
      </c>
      <c r="G23" s="71">
        <f t="shared" si="6"/>
        <v>1.0444444444444443</v>
      </c>
      <c r="Z23" s="121">
        <v>43252</v>
      </c>
      <c r="AA23" s="80" t="s">
        <v>187</v>
      </c>
      <c r="AB23" s="81">
        <v>0.140001167945139</v>
      </c>
      <c r="AC23" s="81">
        <v>0.140001167945139</v>
      </c>
      <c r="AD23" s="81">
        <v>1</v>
      </c>
      <c r="AF23" s="77">
        <f t="shared" si="7"/>
        <v>43252</v>
      </c>
      <c r="AG23" s="82" t="e">
        <f>IF(OR(AA23="",AA23="Grand Total"),"",VLOOKUP(AA23,'Team Details'!B:C,2,0))</f>
        <v>#N/A</v>
      </c>
      <c r="AH23" s="81" t="str">
        <f>IF(OR(AA23="",AA23="Grand Total"),"",(IF(OR('Setup Parameters'!$C$6 = "SW Agile",'Setup Parameters'!$I$6 = "SW Agile"),"Story Point","Complexity Point")))</f>
        <v>Story Point</v>
      </c>
      <c r="AI23" s="81" t="str">
        <f t="shared" si="8"/>
        <v>SP/PH</v>
      </c>
    </row>
    <row r="24" spans="1:35" x14ac:dyDescent="0.25">
      <c r="A24" s="69">
        <f t="shared" si="3"/>
        <v>43252</v>
      </c>
      <c r="B24" s="70" t="e">
        <f t="shared" si="0"/>
        <v>#N/A</v>
      </c>
      <c r="C24" s="71" t="str">
        <f t="shared" si="1"/>
        <v>Story Point</v>
      </c>
      <c r="D24" s="71" t="str">
        <f t="shared" si="2"/>
        <v>SP/PH</v>
      </c>
      <c r="E24" s="71">
        <f t="shared" si="4"/>
        <v>0.14435467757432688</v>
      </c>
      <c r="F24" s="71">
        <f t="shared" si="5"/>
        <v>0.13999911897052997</v>
      </c>
      <c r="G24" s="71">
        <f t="shared" si="6"/>
        <v>1.0311111111111111</v>
      </c>
      <c r="Z24" s="121">
        <v>43252</v>
      </c>
      <c r="AA24" s="80" t="s">
        <v>188</v>
      </c>
      <c r="AB24" s="81">
        <v>0.1415063138367304</v>
      </c>
      <c r="AC24" s="81">
        <v>0.14000625524069149</v>
      </c>
      <c r="AD24" s="81">
        <v>1.0107142857142857</v>
      </c>
      <c r="AF24" s="77">
        <f t="shared" si="7"/>
        <v>43252</v>
      </c>
      <c r="AG24" s="82" t="e">
        <f>IF(OR(AA24="",AA24="Grand Total"),"",VLOOKUP(AA24,'Team Details'!B:C,2,0))</f>
        <v>#N/A</v>
      </c>
      <c r="AH24" s="81" t="str">
        <f>IF(OR(AA24="",AA24="Grand Total"),"",(IF(OR('Setup Parameters'!$C$6 = "SW Agile",'Setup Parameters'!$I$6 = "SW Agile"),"Story Point","Complexity Point")))</f>
        <v>Story Point</v>
      </c>
      <c r="AI24" s="81" t="str">
        <f t="shared" si="8"/>
        <v>SP/PH</v>
      </c>
    </row>
    <row r="25" spans="1:35" x14ac:dyDescent="0.25">
      <c r="A25" s="69">
        <f t="shared" si="3"/>
        <v>43252</v>
      </c>
      <c r="B25" s="70" t="e">
        <f t="shared" si="0"/>
        <v>#N/A</v>
      </c>
      <c r="C25" s="71" t="str">
        <f t="shared" si="1"/>
        <v>Story Point</v>
      </c>
      <c r="D25" s="71" t="str">
        <f t="shared" si="2"/>
        <v>SP/PH</v>
      </c>
      <c r="E25" s="71">
        <f t="shared" si="4"/>
        <v>0.13999317986454002</v>
      </c>
      <c r="F25" s="71">
        <f t="shared" si="5"/>
        <v>0.13999317986454002</v>
      </c>
      <c r="G25" s="71">
        <f t="shared" si="6"/>
        <v>1</v>
      </c>
      <c r="Z25" s="121">
        <v>43252</v>
      </c>
      <c r="AA25" s="80" t="s">
        <v>189</v>
      </c>
      <c r="AB25" s="81">
        <v>0.15050053856402168</v>
      </c>
      <c r="AC25" s="81">
        <v>0.1400001283917493</v>
      </c>
      <c r="AD25" s="81">
        <v>1.075</v>
      </c>
      <c r="AF25" s="77">
        <f t="shared" si="7"/>
        <v>43252</v>
      </c>
      <c r="AG25" s="82" t="e">
        <f>IF(OR(AA25="",AA25="Grand Total"),"",VLOOKUP(AA25,'Team Details'!B:C,2,0))</f>
        <v>#N/A</v>
      </c>
      <c r="AH25" s="81" t="str">
        <f>IF(OR(AA25="",AA25="Grand Total"),"",(IF(OR('Setup Parameters'!$C$6 = "SW Agile",'Setup Parameters'!$I$6 = "SW Agile"),"Story Point","Complexity Point")))</f>
        <v>Story Point</v>
      </c>
      <c r="AI25" s="81" t="str">
        <f t="shared" si="8"/>
        <v>SP/PH</v>
      </c>
    </row>
    <row r="26" spans="1:35" x14ac:dyDescent="0.25">
      <c r="A26" s="69">
        <f t="shared" si="3"/>
        <v>43252</v>
      </c>
      <c r="B26" s="70" t="e">
        <f t="shared" si="0"/>
        <v>#N/A</v>
      </c>
      <c r="C26" s="71" t="str">
        <f t="shared" si="1"/>
        <v>Story Point</v>
      </c>
      <c r="D26" s="71" t="str">
        <f t="shared" si="2"/>
        <v>SP/PH</v>
      </c>
      <c r="E26" s="71">
        <f t="shared" si="4"/>
        <v>0.14155685408890545</v>
      </c>
      <c r="F26" s="71">
        <f t="shared" si="5"/>
        <v>0.14000134639512507</v>
      </c>
      <c r="G26" s="71">
        <f t="shared" si="6"/>
        <v>1.0111111111111111</v>
      </c>
      <c r="Z26" s="121">
        <v>43252</v>
      </c>
      <c r="AA26" s="80" t="s">
        <v>190</v>
      </c>
      <c r="AB26" s="81">
        <v>0.14621504313461531</v>
      </c>
      <c r="AC26" s="81">
        <v>0.13999317986454002</v>
      </c>
      <c r="AD26" s="81">
        <v>1.0444444444444443</v>
      </c>
      <c r="AF26" s="77">
        <f t="shared" si="7"/>
        <v>43252</v>
      </c>
      <c r="AG26" s="82" t="e">
        <f>IF(OR(AA26="",AA26="Grand Total"),"",VLOOKUP(AA26,'Team Details'!B:C,2,0))</f>
        <v>#N/A</v>
      </c>
      <c r="AH26" s="81" t="str">
        <f>IF(OR(AA26="",AA26="Grand Total"),"",(IF(OR('Setup Parameters'!$C$6 = "SW Agile",'Setup Parameters'!$I$6 = "SW Agile"),"Story Point","Complexity Point")))</f>
        <v>Story Point</v>
      </c>
      <c r="AI26" s="81" t="str">
        <f t="shared" si="8"/>
        <v>SP/PH</v>
      </c>
    </row>
    <row r="27" spans="1:35" x14ac:dyDescent="0.25">
      <c r="A27" s="69">
        <f t="shared" si="3"/>
        <v>43252</v>
      </c>
      <c r="B27" s="70" t="e">
        <f t="shared" si="0"/>
        <v>#N/A</v>
      </c>
      <c r="C27" s="71" t="str">
        <f t="shared" si="1"/>
        <v>Story Point</v>
      </c>
      <c r="D27" s="71" t="str">
        <f t="shared" si="2"/>
        <v>SP/PH</v>
      </c>
      <c r="E27" s="71">
        <f t="shared" si="4"/>
        <v>0.14280482383543897</v>
      </c>
      <c r="F27" s="71">
        <f t="shared" si="5"/>
        <v>0.1400047729254224</v>
      </c>
      <c r="G27" s="71">
        <f t="shared" si="6"/>
        <v>1.02</v>
      </c>
      <c r="Z27" s="121">
        <v>43252</v>
      </c>
      <c r="AA27" s="80" t="s">
        <v>191</v>
      </c>
      <c r="AB27" s="81">
        <v>0.14435467757432688</v>
      </c>
      <c r="AC27" s="81">
        <v>0.13999911897052997</v>
      </c>
      <c r="AD27" s="81">
        <v>1.0311111111111111</v>
      </c>
      <c r="AF27" s="77">
        <f t="shared" si="7"/>
        <v>43252</v>
      </c>
      <c r="AG27" s="82" t="e">
        <f>IF(OR(AA27="",AA27="Grand Total"),"",VLOOKUP(AA27,'Team Details'!B:C,2,0))</f>
        <v>#N/A</v>
      </c>
      <c r="AH27" s="81" t="str">
        <f>IF(OR(AA27="",AA27="Grand Total"),"",(IF(OR('Setup Parameters'!$C$6 = "SW Agile",'Setup Parameters'!$I$6 = "SW Agile"),"Story Point","Complexity Point")))</f>
        <v>Story Point</v>
      </c>
      <c r="AI27" s="81" t="str">
        <f t="shared" si="8"/>
        <v>SP/PH</v>
      </c>
    </row>
    <row r="28" spans="1:35" x14ac:dyDescent="0.25">
      <c r="A28" s="69">
        <f t="shared" si="3"/>
        <v>43252</v>
      </c>
      <c r="B28" s="70" t="e">
        <f t="shared" si="0"/>
        <v>#N/A</v>
      </c>
      <c r="C28" s="71" t="str">
        <f t="shared" si="1"/>
        <v>Story Point</v>
      </c>
      <c r="D28" s="71" t="str">
        <f t="shared" si="2"/>
        <v>SP/PH</v>
      </c>
      <c r="E28" s="71">
        <f t="shared" si="4"/>
        <v>0.14155685408890545</v>
      </c>
      <c r="F28" s="71">
        <f t="shared" si="5"/>
        <v>0.14000134639512507</v>
      </c>
      <c r="G28" s="71">
        <f t="shared" si="6"/>
        <v>1.0111111111111111</v>
      </c>
      <c r="Z28" s="121">
        <v>43252</v>
      </c>
      <c r="AA28" s="80" t="s">
        <v>192</v>
      </c>
      <c r="AB28" s="81">
        <v>0.13999317986454002</v>
      </c>
      <c r="AC28" s="81">
        <v>0.13999317986454002</v>
      </c>
      <c r="AD28" s="81">
        <v>1</v>
      </c>
      <c r="AF28" s="77">
        <f t="shared" si="7"/>
        <v>43252</v>
      </c>
      <c r="AG28" s="82" t="e">
        <f>IF(OR(AA28="",AA28="Grand Total"),"",VLOOKUP(AA28,'Team Details'!B:C,2,0))</f>
        <v>#N/A</v>
      </c>
      <c r="AH28" s="81" t="str">
        <f>IF(OR(AA28="",AA28="Grand Total"),"",(IF(OR('Setup Parameters'!$C$6 = "SW Agile",'Setup Parameters'!$I$6 = "SW Agile"),"Story Point","Complexity Point")))</f>
        <v>Story Point</v>
      </c>
      <c r="AI28" s="81" t="str">
        <f t="shared" si="8"/>
        <v>SP/PH</v>
      </c>
    </row>
    <row r="29" spans="1:35" x14ac:dyDescent="0.25">
      <c r="A29" s="69">
        <f t="shared" si="3"/>
        <v>43252</v>
      </c>
      <c r="B29" s="70" t="e">
        <f t="shared" si="0"/>
        <v>#N/A</v>
      </c>
      <c r="C29" s="71" t="str">
        <f t="shared" si="1"/>
        <v>Story Point</v>
      </c>
      <c r="D29" s="71" t="str">
        <f t="shared" si="2"/>
        <v>SP/PH</v>
      </c>
      <c r="E29" s="71">
        <f t="shared" si="4"/>
        <v>0.14255193394229609</v>
      </c>
      <c r="F29" s="71">
        <f t="shared" si="5"/>
        <v>0.13999644624811575</v>
      </c>
      <c r="G29" s="71">
        <f t="shared" si="6"/>
        <v>1.0182539682539682</v>
      </c>
      <c r="Z29" s="121">
        <v>43252</v>
      </c>
      <c r="AA29" s="80" t="s">
        <v>193</v>
      </c>
      <c r="AB29" s="81">
        <v>0.14155685408890545</v>
      </c>
      <c r="AC29" s="81">
        <v>0.14000134639512507</v>
      </c>
      <c r="AD29" s="81">
        <v>1.0111111111111111</v>
      </c>
      <c r="AF29" s="77">
        <f t="shared" si="7"/>
        <v>43252</v>
      </c>
      <c r="AG29" s="82" t="e">
        <f>IF(OR(AA29="",AA29="Grand Total"),"",VLOOKUP(AA29,'Team Details'!B:C,2,0))</f>
        <v>#N/A</v>
      </c>
      <c r="AH29" s="81" t="str">
        <f>IF(OR(AA29="",AA29="Grand Total"),"",(IF(OR('Setup Parameters'!$C$6 = "SW Agile",'Setup Parameters'!$I$6 = "SW Agile"),"Story Point","Complexity Point")))</f>
        <v>Story Point</v>
      </c>
      <c r="AI29" s="81" t="str">
        <f t="shared" si="8"/>
        <v>SP/PH</v>
      </c>
    </row>
    <row r="30" spans="1:35" x14ac:dyDescent="0.25">
      <c r="A30" s="69">
        <f t="shared" si="3"/>
        <v>43252</v>
      </c>
      <c r="B30" s="70" t="e">
        <f t="shared" si="0"/>
        <v>#N/A</v>
      </c>
      <c r="C30" s="71" t="str">
        <f t="shared" si="1"/>
        <v>Story Point</v>
      </c>
      <c r="D30" s="71" t="str">
        <f t="shared" si="2"/>
        <v>SP/PH</v>
      </c>
      <c r="E30" s="71">
        <f t="shared" si="4"/>
        <v>0.1429981203533687</v>
      </c>
      <c r="F30" s="71">
        <f t="shared" si="5"/>
        <v>0.13999828923162125</v>
      </c>
      <c r="G30" s="71">
        <f t="shared" si="6"/>
        <v>1.0214285714285714</v>
      </c>
      <c r="Z30" s="121">
        <v>43252</v>
      </c>
      <c r="AA30" s="80" t="s">
        <v>194</v>
      </c>
      <c r="AB30" s="81">
        <v>0.14280482383543897</v>
      </c>
      <c r="AC30" s="81">
        <v>0.1400047729254224</v>
      </c>
      <c r="AD30" s="81">
        <v>1.02</v>
      </c>
      <c r="AF30" s="77">
        <f t="shared" si="7"/>
        <v>43252</v>
      </c>
      <c r="AG30" s="82" t="e">
        <f>IF(OR(AA30="",AA30="Grand Total"),"",VLOOKUP(AA30,'Team Details'!B:C,2,0))</f>
        <v>#N/A</v>
      </c>
      <c r="AH30" s="81" t="str">
        <f>IF(OR(AA30="",AA30="Grand Total"),"",(IF(OR('Setup Parameters'!$C$6 = "SW Agile",'Setup Parameters'!$I$6 = "SW Agile"),"Story Point","Complexity Point")))</f>
        <v>Story Point</v>
      </c>
      <c r="AI30" s="81" t="str">
        <f t="shared" si="8"/>
        <v>SP/PH</v>
      </c>
    </row>
    <row r="31" spans="1:35" x14ac:dyDescent="0.25">
      <c r="A31" s="69">
        <f t="shared" si="3"/>
        <v>43252</v>
      </c>
      <c r="B31" s="70" t="e">
        <f t="shared" si="0"/>
        <v>#N/A</v>
      </c>
      <c r="C31" s="71" t="str">
        <f t="shared" si="1"/>
        <v>Story Point</v>
      </c>
      <c r="D31" s="71" t="str">
        <f t="shared" si="2"/>
        <v>SP/PH</v>
      </c>
      <c r="E31" s="71">
        <f t="shared" si="4"/>
        <v>0.14560183601029483</v>
      </c>
      <c r="F31" s="71">
        <f t="shared" si="5"/>
        <v>0.14000155599629413</v>
      </c>
      <c r="G31" s="71">
        <f t="shared" si="6"/>
        <v>1.04</v>
      </c>
      <c r="Z31" s="121">
        <v>43252</v>
      </c>
      <c r="AA31" s="80" t="s">
        <v>196</v>
      </c>
      <c r="AB31" s="81">
        <v>0.14155685408890545</v>
      </c>
      <c r="AC31" s="81">
        <v>0.14000134639512507</v>
      </c>
      <c r="AD31" s="81">
        <v>1.0111111111111111</v>
      </c>
      <c r="AF31" s="77">
        <f t="shared" si="7"/>
        <v>43252</v>
      </c>
      <c r="AG31" s="82" t="e">
        <f>IF(OR(AA31="",AA31="Grand Total"),"",VLOOKUP(AA31,'Team Details'!B:C,2,0))</f>
        <v>#N/A</v>
      </c>
      <c r="AH31" s="81" t="str">
        <f>IF(OR(AA31="",AA31="Grand Total"),"",(IF(OR('Setup Parameters'!$C$6 = "SW Agile",'Setup Parameters'!$I$6 = "SW Agile"),"Story Point","Complexity Point")))</f>
        <v>Story Point</v>
      </c>
      <c r="AI31" s="81" t="str">
        <f t="shared" si="8"/>
        <v>SP/PH</v>
      </c>
    </row>
    <row r="32" spans="1:35" x14ac:dyDescent="0.25">
      <c r="A32" s="69">
        <f t="shared" si="3"/>
        <v>43221</v>
      </c>
      <c r="B32" s="70" t="e">
        <f t="shared" si="0"/>
        <v>#N/A</v>
      </c>
      <c r="C32" s="71" t="str">
        <f t="shared" si="1"/>
        <v>Story Point</v>
      </c>
      <c r="D32" s="71" t="str">
        <f t="shared" si="2"/>
        <v>SP/PH</v>
      </c>
      <c r="E32" s="71">
        <f t="shared" si="4"/>
        <v>0.15599694570655823</v>
      </c>
      <c r="F32" s="71">
        <f t="shared" si="5"/>
        <v>0.13999742003385293</v>
      </c>
      <c r="G32" s="71">
        <f t="shared" si="6"/>
        <v>1.1142857142857145</v>
      </c>
      <c r="Z32" s="121">
        <v>43252</v>
      </c>
      <c r="AA32" s="80" t="s">
        <v>197</v>
      </c>
      <c r="AB32" s="81">
        <v>0.14255193394229609</v>
      </c>
      <c r="AC32" s="81">
        <v>0.13999644624811575</v>
      </c>
      <c r="AD32" s="81">
        <v>1.0182539682539682</v>
      </c>
      <c r="AF32" s="77">
        <f t="shared" si="7"/>
        <v>43252</v>
      </c>
      <c r="AG32" s="82" t="e">
        <f>IF(OR(AA32="",AA32="Grand Total"),"",VLOOKUP(AA32,'Team Details'!B:C,2,0))</f>
        <v>#N/A</v>
      </c>
      <c r="AH32" s="81" t="str">
        <f>IF(OR(AA32="",AA32="Grand Total"),"",(IF(OR('Setup Parameters'!$C$6 = "SW Agile",'Setup Parameters'!$I$6 = "SW Agile"),"Story Point","Complexity Point")))</f>
        <v>Story Point</v>
      </c>
      <c r="AI32" s="81" t="str">
        <f t="shared" si="8"/>
        <v>SP/PH</v>
      </c>
    </row>
    <row r="33" spans="1:35" x14ac:dyDescent="0.25">
      <c r="A33" s="69">
        <f t="shared" si="3"/>
        <v>43221</v>
      </c>
      <c r="B33" s="70" t="e">
        <f t="shared" si="0"/>
        <v>#N/A</v>
      </c>
      <c r="C33" s="71" t="str">
        <f t="shared" si="1"/>
        <v>Story Point</v>
      </c>
      <c r="D33" s="71" t="str">
        <f t="shared" si="2"/>
        <v>SP/PH</v>
      </c>
      <c r="E33" s="71">
        <f t="shared" si="4"/>
        <v>0.13416471767160923</v>
      </c>
      <c r="F33" s="71">
        <f t="shared" si="5"/>
        <v>0.13999742003385293</v>
      </c>
      <c r="G33" s="71">
        <f t="shared" si="6"/>
        <v>0.95833333333333337</v>
      </c>
      <c r="Z33" s="121">
        <v>43252</v>
      </c>
      <c r="AA33" s="80" t="s">
        <v>198</v>
      </c>
      <c r="AB33" s="81">
        <v>0.1429981203533687</v>
      </c>
      <c r="AC33" s="81">
        <v>0.13999828923162125</v>
      </c>
      <c r="AD33" s="81">
        <v>1.0214285714285714</v>
      </c>
      <c r="AF33" s="77">
        <f t="shared" si="7"/>
        <v>43252</v>
      </c>
      <c r="AG33" s="82" t="e">
        <f>IF(OR(AA33="",AA33="Grand Total"),"",VLOOKUP(AA33,'Team Details'!B:C,2,0))</f>
        <v>#N/A</v>
      </c>
      <c r="AH33" s="81" t="str">
        <f>IF(OR(AA33="",AA33="Grand Total"),"",(IF(OR('Setup Parameters'!$C$6 = "SW Agile",'Setup Parameters'!$I$6 = "SW Agile"),"Story Point","Complexity Point")))</f>
        <v>Story Point</v>
      </c>
      <c r="AI33" s="81" t="str">
        <f t="shared" si="8"/>
        <v>SP/PH</v>
      </c>
    </row>
    <row r="34" spans="1:35" x14ac:dyDescent="0.25">
      <c r="A34" s="69">
        <f t="shared" si="3"/>
        <v>43221</v>
      </c>
      <c r="B34" s="70" t="e">
        <f t="shared" si="0"/>
        <v>#N/A</v>
      </c>
      <c r="C34" s="71" t="str">
        <f t="shared" si="1"/>
        <v>Story Point</v>
      </c>
      <c r="D34" s="71" t="str">
        <f t="shared" si="2"/>
        <v>SP/PH</v>
      </c>
      <c r="E34" s="71">
        <f t="shared" si="4"/>
        <v>0.16138641642982529</v>
      </c>
      <c r="F34" s="71">
        <f t="shared" si="5"/>
        <v>0.13999742003385293</v>
      </c>
      <c r="G34" s="71">
        <f t="shared" si="6"/>
        <v>1.1527777777777777</v>
      </c>
      <c r="Z34" s="121">
        <v>43252</v>
      </c>
      <c r="AA34" s="80" t="s">
        <v>199</v>
      </c>
      <c r="AB34" s="81">
        <v>0.14560183601029483</v>
      </c>
      <c r="AC34" s="81">
        <v>0.14000155599629413</v>
      </c>
      <c r="AD34" s="81">
        <v>1.04</v>
      </c>
      <c r="AF34" s="77">
        <f t="shared" si="7"/>
        <v>43252</v>
      </c>
      <c r="AG34" s="82" t="e">
        <f>IF(OR(AA34="",AA34="Grand Total"),"",VLOOKUP(AA34,'Team Details'!B:C,2,0))</f>
        <v>#N/A</v>
      </c>
      <c r="AH34" s="81" t="str">
        <f>IF(OR(AA34="",AA34="Grand Total"),"",(IF(OR('Setup Parameters'!$C$6 = "SW Agile",'Setup Parameters'!$I$6 = "SW Agile"),"Story Point","Complexity Point")))</f>
        <v>Story Point</v>
      </c>
      <c r="AI34" s="81" t="str">
        <f t="shared" si="8"/>
        <v>SP/PH</v>
      </c>
    </row>
    <row r="35" spans="1:35" x14ac:dyDescent="0.25">
      <c r="A35" s="69">
        <f t="shared" si="3"/>
        <v>43221</v>
      </c>
      <c r="B35" s="70" t="e">
        <f t="shared" si="0"/>
        <v>#N/A</v>
      </c>
      <c r="C35" s="71" t="str">
        <f t="shared" si="1"/>
        <v>Story Point</v>
      </c>
      <c r="D35" s="71" t="str">
        <f t="shared" si="2"/>
        <v>SP/PH</v>
      </c>
      <c r="E35" s="71">
        <f t="shared" si="4"/>
        <v>0.12444276186242266</v>
      </c>
      <c r="F35" s="71">
        <f t="shared" si="5"/>
        <v>0.13999742003385293</v>
      </c>
      <c r="G35" s="71">
        <f t="shared" si="6"/>
        <v>0.88888888888888884</v>
      </c>
      <c r="Z35" s="121">
        <v>43221</v>
      </c>
      <c r="AA35" s="80" t="s">
        <v>173</v>
      </c>
      <c r="AB35" s="81">
        <v>0.15599694570655823</v>
      </c>
      <c r="AC35" s="81">
        <v>0.13999742003385293</v>
      </c>
      <c r="AD35" s="81">
        <v>1.1142857142857145</v>
      </c>
      <c r="AF35" s="77">
        <f t="shared" si="7"/>
        <v>43221</v>
      </c>
      <c r="AG35" s="82" t="e">
        <f>IF(OR(AA35="",AA35="Grand Total"),"",VLOOKUP(AA35,'Team Details'!B:C,2,0))</f>
        <v>#N/A</v>
      </c>
      <c r="AH35" s="81" t="str">
        <f>IF(OR(AA35="",AA35="Grand Total"),"",(IF(OR('Setup Parameters'!$C$6 = "SW Agile",'Setup Parameters'!$I$6 = "SW Agile"),"Story Point","Complexity Point")))</f>
        <v>Story Point</v>
      </c>
      <c r="AI35" s="81" t="str">
        <f t="shared" si="8"/>
        <v>SP/PH</v>
      </c>
    </row>
    <row r="36" spans="1:35" x14ac:dyDescent="0.25">
      <c r="A36" s="69">
        <f t="shared" si="3"/>
        <v>43221</v>
      </c>
      <c r="B36" s="70" t="e">
        <f t="shared" si="0"/>
        <v>#N/A</v>
      </c>
      <c r="C36" s="71" t="str">
        <f t="shared" si="1"/>
        <v>Story Point</v>
      </c>
      <c r="D36" s="71" t="str">
        <f t="shared" si="2"/>
        <v>SP/PH</v>
      </c>
      <c r="E36" s="71">
        <f t="shared" si="4"/>
        <v>0.1564745784523674</v>
      </c>
      <c r="F36" s="71">
        <f t="shared" si="5"/>
        <v>0.13999604591110781</v>
      </c>
      <c r="G36" s="71">
        <f t="shared" si="6"/>
        <v>1.1177083333333333</v>
      </c>
      <c r="Z36" s="121">
        <v>43221</v>
      </c>
      <c r="AA36" s="80" t="s">
        <v>174</v>
      </c>
      <c r="AB36" s="81">
        <v>0.13416471767160923</v>
      </c>
      <c r="AC36" s="81">
        <v>0.13999742003385293</v>
      </c>
      <c r="AD36" s="81">
        <v>0.95833333333333337</v>
      </c>
      <c r="AF36" s="77">
        <f t="shared" si="7"/>
        <v>43221</v>
      </c>
      <c r="AG36" s="82" t="e">
        <f>IF(OR(AA36="",AA36="Grand Total"),"",VLOOKUP(AA36,'Team Details'!B:C,2,0))</f>
        <v>#N/A</v>
      </c>
      <c r="AH36" s="81" t="str">
        <f>IF(OR(AA36="",AA36="Grand Total"),"",(IF(OR('Setup Parameters'!$C$6 = "SW Agile",'Setup Parameters'!$I$6 = "SW Agile"),"Story Point","Complexity Point")))</f>
        <v>Story Point</v>
      </c>
      <c r="AI36" s="81" t="str">
        <f t="shared" si="8"/>
        <v>SP/PH</v>
      </c>
    </row>
    <row r="37" spans="1:35" x14ac:dyDescent="0.25">
      <c r="A37" s="69">
        <f t="shared" si="3"/>
        <v>43221</v>
      </c>
      <c r="B37" s="70" t="e">
        <f t="shared" si="0"/>
        <v>#N/A</v>
      </c>
      <c r="C37" s="71" t="str">
        <f t="shared" si="1"/>
        <v>Story Point</v>
      </c>
      <c r="D37" s="71" t="str">
        <f t="shared" si="2"/>
        <v>SP/PH</v>
      </c>
      <c r="E37" s="71">
        <f t="shared" si="4"/>
        <v>0.14058074916048582</v>
      </c>
      <c r="F37" s="71">
        <f t="shared" si="5"/>
        <v>0.13999742003385293</v>
      </c>
      <c r="G37" s="71">
        <f t="shared" si="6"/>
        <v>1.0041666666666667</v>
      </c>
      <c r="Z37" s="121">
        <v>43221</v>
      </c>
      <c r="AA37" s="80" t="s">
        <v>175</v>
      </c>
      <c r="AB37" s="81">
        <v>0.16138641642982529</v>
      </c>
      <c r="AC37" s="81">
        <v>0.13999742003385293</v>
      </c>
      <c r="AD37" s="81">
        <v>1.1527777777777777</v>
      </c>
      <c r="AF37" s="77">
        <f t="shared" si="7"/>
        <v>43221</v>
      </c>
      <c r="AG37" s="82" t="e">
        <f>IF(OR(AA37="",AA37="Grand Total"),"",VLOOKUP(AA37,'Team Details'!B:C,2,0))</f>
        <v>#N/A</v>
      </c>
      <c r="AH37" s="81" t="str">
        <f>IF(OR(AA37="",AA37="Grand Total"),"",(IF(OR('Setup Parameters'!$C$6 = "SW Agile",'Setup Parameters'!$I$6 = "SW Agile"),"Story Point","Complexity Point")))</f>
        <v>Story Point</v>
      </c>
      <c r="AI37" s="81" t="str">
        <f t="shared" si="8"/>
        <v>SP/PH</v>
      </c>
    </row>
    <row r="38" spans="1:35" x14ac:dyDescent="0.25">
      <c r="A38" s="69">
        <f t="shared" si="3"/>
        <v>43221</v>
      </c>
      <c r="B38" s="70" t="e">
        <f t="shared" si="0"/>
        <v>#N/A</v>
      </c>
      <c r="C38" s="71" t="str">
        <f t="shared" si="1"/>
        <v>Story Point</v>
      </c>
      <c r="D38" s="71" t="str">
        <f t="shared" si="2"/>
        <v>SP/PH</v>
      </c>
      <c r="E38" s="71">
        <f t="shared" si="4"/>
        <v>0.15207215230505025</v>
      </c>
      <c r="F38" s="71">
        <f t="shared" si="5"/>
        <v>0.13999427915921378</v>
      </c>
      <c r="G38" s="71">
        <f t="shared" si="6"/>
        <v>1.0862745098039215</v>
      </c>
      <c r="Z38" s="121">
        <v>43221</v>
      </c>
      <c r="AA38" s="80" t="s">
        <v>176</v>
      </c>
      <c r="AB38" s="81">
        <v>0.12444276186242266</v>
      </c>
      <c r="AC38" s="81">
        <v>0.13999742003385293</v>
      </c>
      <c r="AD38" s="81">
        <v>0.88888888888888884</v>
      </c>
      <c r="AF38" s="77">
        <f t="shared" si="7"/>
        <v>43221</v>
      </c>
      <c r="AG38" s="82" t="e">
        <f>IF(OR(AA38="",AA38="Grand Total"),"",VLOOKUP(AA38,'Team Details'!B:C,2,0))</f>
        <v>#N/A</v>
      </c>
      <c r="AH38" s="81" t="str">
        <f>IF(OR(AA38="",AA38="Grand Total"),"",(IF(OR('Setup Parameters'!$C$6 = "SW Agile",'Setup Parameters'!$I$6 = "SW Agile"),"Story Point","Complexity Point")))</f>
        <v>Story Point</v>
      </c>
      <c r="AI38" s="81" t="str">
        <f t="shared" si="8"/>
        <v>SP/PH</v>
      </c>
    </row>
    <row r="39" spans="1:35" x14ac:dyDescent="0.25">
      <c r="A39" s="69">
        <f t="shared" si="3"/>
        <v>43221</v>
      </c>
      <c r="B39" s="70" t="e">
        <f t="shared" si="0"/>
        <v>#N/A</v>
      </c>
      <c r="C39" s="71" t="str">
        <f t="shared" si="1"/>
        <v>Story Point</v>
      </c>
      <c r="D39" s="71" t="str">
        <f t="shared" si="2"/>
        <v>SP/PH</v>
      </c>
      <c r="E39" s="71">
        <f t="shared" si="4"/>
        <v>0.14821457250600584</v>
      </c>
      <c r="F39" s="71">
        <f t="shared" si="5"/>
        <v>0.1400001692506227</v>
      </c>
      <c r="G39" s="71">
        <f t="shared" si="6"/>
        <v>1.0586766541822721</v>
      </c>
      <c r="Z39" s="121">
        <v>43221</v>
      </c>
      <c r="AA39" s="80" t="s">
        <v>177</v>
      </c>
      <c r="AB39" s="81">
        <v>0.1564745784523674</v>
      </c>
      <c r="AC39" s="81">
        <v>0.13999604591110781</v>
      </c>
      <c r="AD39" s="81">
        <v>1.1177083333333333</v>
      </c>
      <c r="AF39" s="77">
        <f t="shared" si="7"/>
        <v>43221</v>
      </c>
      <c r="AG39" s="82" t="e">
        <f>IF(OR(AA39="",AA39="Grand Total"),"",VLOOKUP(AA39,'Team Details'!B:C,2,0))</f>
        <v>#N/A</v>
      </c>
      <c r="AH39" s="81" t="str">
        <f>IF(OR(AA39="",AA39="Grand Total"),"",(IF(OR('Setup Parameters'!$C$6 = "SW Agile",'Setup Parameters'!$I$6 = "SW Agile"),"Story Point","Complexity Point")))</f>
        <v>Story Point</v>
      </c>
      <c r="AI39" s="81" t="str">
        <f t="shared" si="8"/>
        <v>SP/PH</v>
      </c>
    </row>
    <row r="40" spans="1:35" x14ac:dyDescent="0.25">
      <c r="A40" s="69" t="str">
        <f t="shared" si="3"/>
        <v/>
      </c>
      <c r="B40" s="70" t="str">
        <f t="shared" si="0"/>
        <v/>
      </c>
      <c r="C40" s="71" t="str">
        <f t="shared" si="1"/>
        <v/>
      </c>
      <c r="D40" s="71" t="str">
        <f t="shared" si="2"/>
        <v/>
      </c>
      <c r="E40" s="71" t="str">
        <f t="shared" si="4"/>
        <v/>
      </c>
      <c r="F40" s="71" t="str">
        <f t="shared" si="5"/>
        <v/>
      </c>
      <c r="G40" s="71" t="str">
        <f t="shared" si="6"/>
        <v/>
      </c>
      <c r="Z40" s="121">
        <v>43221</v>
      </c>
      <c r="AA40" s="80" t="s">
        <v>178</v>
      </c>
      <c r="AB40" s="81">
        <v>0.14058074916048582</v>
      </c>
      <c r="AC40" s="81">
        <v>0.13999742003385293</v>
      </c>
      <c r="AD40" s="81">
        <v>1.0041666666666667</v>
      </c>
      <c r="AF40" s="77">
        <f t="shared" si="7"/>
        <v>43221</v>
      </c>
      <c r="AG40" s="82" t="e">
        <f>IF(OR(AA40="",AA40="Grand Total"),"",VLOOKUP(AA40,'Team Details'!B:C,2,0))</f>
        <v>#N/A</v>
      </c>
      <c r="AH40" s="81" t="str">
        <f>IF(OR(AA40="",AA40="Grand Total"),"",(IF(OR('Setup Parameters'!$C$6 = "SW Agile",'Setup Parameters'!$I$6 = "SW Agile"),"Story Point","Complexity Point")))</f>
        <v>Story Point</v>
      </c>
      <c r="AI40" s="81" t="str">
        <f t="shared" si="8"/>
        <v>SP/PH</v>
      </c>
    </row>
    <row r="41" spans="1:35" x14ac:dyDescent="0.25">
      <c r="A41" s="69" t="str">
        <f t="shared" si="3"/>
        <v/>
      </c>
      <c r="B41" s="70" t="str">
        <f t="shared" si="0"/>
        <v/>
      </c>
      <c r="C41" s="71" t="str">
        <f t="shared" si="1"/>
        <v/>
      </c>
      <c r="D41" s="71" t="str">
        <f t="shared" si="2"/>
        <v/>
      </c>
      <c r="E41" s="71" t="str">
        <f t="shared" si="4"/>
        <v/>
      </c>
      <c r="F41" s="71" t="str">
        <f t="shared" si="5"/>
        <v/>
      </c>
      <c r="G41" s="71" t="str">
        <f t="shared" si="6"/>
        <v/>
      </c>
      <c r="Z41" s="121">
        <v>43221</v>
      </c>
      <c r="AA41" s="80" t="s">
        <v>180</v>
      </c>
      <c r="AB41" s="81">
        <v>0.15207215230505025</v>
      </c>
      <c r="AC41" s="81">
        <v>0.13999427915921378</v>
      </c>
      <c r="AD41" s="81">
        <v>1.0862745098039215</v>
      </c>
      <c r="AF41" s="77">
        <f t="shared" si="7"/>
        <v>43221</v>
      </c>
      <c r="AG41" s="82" t="e">
        <f>IF(OR(AA41="",AA41="Grand Total"),"",VLOOKUP(AA41,'Team Details'!B:C,2,0))</f>
        <v>#N/A</v>
      </c>
      <c r="AH41" s="81" t="str">
        <f>IF(OR(AA41="",AA41="Grand Total"),"",(IF(OR('Setup Parameters'!$C$6 = "SW Agile",'Setup Parameters'!$I$6 = "SW Agile"),"Story Point","Complexity Point")))</f>
        <v>Story Point</v>
      </c>
      <c r="AI41" s="81" t="str">
        <f t="shared" si="8"/>
        <v>SP/PH</v>
      </c>
    </row>
    <row r="42" spans="1:35" x14ac:dyDescent="0.25">
      <c r="A42" s="69" t="str">
        <f t="shared" si="3"/>
        <v/>
      </c>
      <c r="B42" s="70" t="str">
        <f t="shared" si="0"/>
        <v/>
      </c>
      <c r="C42" s="71" t="str">
        <f t="shared" si="1"/>
        <v/>
      </c>
      <c r="D42" s="71" t="str">
        <f t="shared" si="2"/>
        <v/>
      </c>
      <c r="E42" s="71" t="str">
        <f t="shared" si="4"/>
        <v/>
      </c>
      <c r="F42" s="71" t="str">
        <f t="shared" si="5"/>
        <v/>
      </c>
      <c r="G42" s="71" t="str">
        <f t="shared" si="6"/>
        <v/>
      </c>
      <c r="Z42" s="121">
        <v>43221</v>
      </c>
      <c r="AA42" s="80" t="s">
        <v>181</v>
      </c>
      <c r="AB42" s="81">
        <v>0.14821457250600584</v>
      </c>
      <c r="AC42" s="81">
        <v>0.1400001692506227</v>
      </c>
      <c r="AD42" s="81">
        <v>1.0586766541822721</v>
      </c>
      <c r="AF42" s="77">
        <f t="shared" si="7"/>
        <v>43221</v>
      </c>
      <c r="AG42" s="82" t="e">
        <f>IF(OR(AA42="",AA42="Grand Total"),"",VLOOKUP(AA42,'Team Details'!B:C,2,0))</f>
        <v>#N/A</v>
      </c>
      <c r="AH42" s="81" t="str">
        <f>IF(OR(AA42="",AA42="Grand Total"),"",(IF(OR('Setup Parameters'!$C$6 = "SW Agile",'Setup Parameters'!$I$6 = "SW Agile"),"Story Point","Complexity Point")))</f>
        <v>Story Point</v>
      </c>
      <c r="AI42" s="81" t="str">
        <f t="shared" si="8"/>
        <v>SP/PH</v>
      </c>
    </row>
    <row r="43" spans="1:35" x14ac:dyDescent="0.25">
      <c r="A43" s="69" t="str">
        <f t="shared" si="3"/>
        <v/>
      </c>
      <c r="B43" s="70" t="str">
        <f t="shared" si="0"/>
        <v/>
      </c>
      <c r="C43" s="71" t="str">
        <f t="shared" si="1"/>
        <v/>
      </c>
      <c r="D43" s="71" t="str">
        <f t="shared" si="2"/>
        <v/>
      </c>
      <c r="E43" s="71" t="str">
        <f t="shared" si="4"/>
        <v/>
      </c>
      <c r="F43" s="71" t="str">
        <f t="shared" si="5"/>
        <v/>
      </c>
      <c r="G43" s="71" t="str">
        <f t="shared" si="6"/>
        <v/>
      </c>
      <c r="Z43"/>
      <c r="AA43"/>
      <c r="AB43"/>
      <c r="AC43"/>
      <c r="AD43"/>
      <c r="AF43" s="77" t="str">
        <f t="shared" si="7"/>
        <v/>
      </c>
      <c r="AG43" s="82" t="str">
        <f>IF(OR(AA43="",AA43="Grand Total"),"",VLOOKUP(AA43,'Team Details'!B:C,2,0))</f>
        <v/>
      </c>
      <c r="AH43" s="81" t="str">
        <f>IF(OR(AA43="",AA43="Grand Total"),"",(IF(OR('Setup Parameters'!$C$6 = "SW Agile",'Setup Parameters'!$I$6 = "SW Agile"),"Story Point","Complexity Point")))</f>
        <v/>
      </c>
      <c r="AI43" s="81" t="str">
        <f t="shared" si="8"/>
        <v/>
      </c>
    </row>
    <row r="44" spans="1:35" x14ac:dyDescent="0.25">
      <c r="A44" s="69" t="str">
        <f t="shared" si="3"/>
        <v/>
      </c>
      <c r="B44" s="70" t="str">
        <f t="shared" si="0"/>
        <v/>
      </c>
      <c r="C44" s="71" t="str">
        <f t="shared" si="1"/>
        <v/>
      </c>
      <c r="D44" s="71" t="str">
        <f t="shared" si="2"/>
        <v/>
      </c>
      <c r="E44" s="71" t="str">
        <f t="shared" si="4"/>
        <v/>
      </c>
      <c r="F44" s="71" t="str">
        <f t="shared" si="5"/>
        <v/>
      </c>
      <c r="G44" s="71" t="str">
        <f t="shared" si="6"/>
        <v/>
      </c>
      <c r="Z44"/>
      <c r="AA44"/>
      <c r="AB44"/>
      <c r="AC44"/>
      <c r="AD44"/>
      <c r="AF44" s="77" t="str">
        <f t="shared" si="7"/>
        <v/>
      </c>
      <c r="AG44" s="82" t="str">
        <f>IF(OR(AA44="",AA44="Grand Total"),"",VLOOKUP(AA44,'Team Details'!B:C,2,0))</f>
        <v/>
      </c>
      <c r="AH44" s="81" t="str">
        <f>IF(OR(AA44="",AA44="Grand Total"),"",(IF(OR('Setup Parameters'!$C$6 = "SW Agile",'Setup Parameters'!$I$6 = "SW Agile"),"Story Point","Complexity Point")))</f>
        <v/>
      </c>
      <c r="AI44" s="81" t="str">
        <f t="shared" si="8"/>
        <v/>
      </c>
    </row>
    <row r="45" spans="1:35" x14ac:dyDescent="0.25">
      <c r="A45" s="69" t="str">
        <f t="shared" si="3"/>
        <v/>
      </c>
      <c r="B45" s="70" t="str">
        <f t="shared" si="0"/>
        <v/>
      </c>
      <c r="C45" s="71" t="str">
        <f t="shared" si="1"/>
        <v/>
      </c>
      <c r="D45" s="71" t="str">
        <f t="shared" si="2"/>
        <v/>
      </c>
      <c r="E45" s="71" t="str">
        <f t="shared" si="4"/>
        <v/>
      </c>
      <c r="F45" s="71" t="str">
        <f t="shared" si="5"/>
        <v/>
      </c>
      <c r="G45" s="71" t="str">
        <f t="shared" si="6"/>
        <v/>
      </c>
      <c r="Z45"/>
      <c r="AA45"/>
      <c r="AB45"/>
      <c r="AC45"/>
      <c r="AD45"/>
      <c r="AF45" s="77" t="str">
        <f t="shared" si="7"/>
        <v/>
      </c>
      <c r="AG45" s="82" t="str">
        <f>IF(OR(AA45="",AA45="Grand Total"),"",VLOOKUP(AA45,'Team Details'!B:C,2,0))</f>
        <v/>
      </c>
      <c r="AH45" s="81" t="str">
        <f>IF(OR(AA45="",AA45="Grand Total"),"",(IF(OR('Setup Parameters'!$C$6 = "SW Agile",'Setup Parameters'!$I$6 = "SW Agile"),"Story Point","Complexity Point")))</f>
        <v/>
      </c>
      <c r="AI45" s="81" t="str">
        <f t="shared" si="8"/>
        <v/>
      </c>
    </row>
    <row r="46" spans="1:35" x14ac:dyDescent="0.25">
      <c r="A46" s="69" t="str">
        <f t="shared" si="3"/>
        <v/>
      </c>
      <c r="B46" s="70" t="str">
        <f t="shared" si="0"/>
        <v/>
      </c>
      <c r="C46" s="71" t="str">
        <f t="shared" si="1"/>
        <v/>
      </c>
      <c r="D46" s="71" t="str">
        <f t="shared" si="2"/>
        <v/>
      </c>
      <c r="E46" s="71" t="str">
        <f t="shared" si="4"/>
        <v/>
      </c>
      <c r="F46" s="71" t="str">
        <f t="shared" si="5"/>
        <v/>
      </c>
      <c r="G46" s="71" t="str">
        <f t="shared" si="6"/>
        <v/>
      </c>
      <c r="Z46"/>
      <c r="AA46"/>
      <c r="AB46"/>
      <c r="AC46"/>
      <c r="AD46"/>
      <c r="AF46" s="77" t="str">
        <f t="shared" si="7"/>
        <v/>
      </c>
      <c r="AG46" s="82" t="str">
        <f>IF(OR(AA46="",AA46="Grand Total"),"",VLOOKUP(AA46,'Team Details'!B:C,2,0))</f>
        <v/>
      </c>
      <c r="AH46" s="81" t="str">
        <f>IF(OR(AA46="",AA46="Grand Total"),"",(IF(OR('Setup Parameters'!$C$6 = "SW Agile",'Setup Parameters'!$I$6 = "SW Agile"),"Story Point","Complexity Point")))</f>
        <v/>
      </c>
      <c r="AI46" s="81" t="str">
        <f t="shared" si="8"/>
        <v/>
      </c>
    </row>
    <row r="47" spans="1:35" x14ac:dyDescent="0.25">
      <c r="A47" s="69" t="str">
        <f t="shared" si="3"/>
        <v/>
      </c>
      <c r="B47" s="70" t="str">
        <f t="shared" si="0"/>
        <v/>
      </c>
      <c r="C47" s="71" t="str">
        <f t="shared" si="1"/>
        <v/>
      </c>
      <c r="D47" s="71" t="str">
        <f t="shared" si="2"/>
        <v/>
      </c>
      <c r="E47" s="71" t="str">
        <f t="shared" si="4"/>
        <v/>
      </c>
      <c r="F47" s="71" t="str">
        <f t="shared" si="5"/>
        <v/>
      </c>
      <c r="G47" s="71" t="str">
        <f t="shared" si="6"/>
        <v/>
      </c>
      <c r="Z47"/>
      <c r="AA47"/>
      <c r="AB47"/>
      <c r="AC47"/>
      <c r="AD47"/>
      <c r="AF47" s="77" t="str">
        <f t="shared" si="7"/>
        <v/>
      </c>
      <c r="AG47" s="82" t="str">
        <f>IF(OR(AA47="",AA47="Grand Total"),"",VLOOKUP(AA47,'Team Details'!B:C,2,0))</f>
        <v/>
      </c>
      <c r="AH47" s="81" t="str">
        <f>IF(OR(AA47="",AA47="Grand Total"),"",(IF(OR('Setup Parameters'!$C$6 = "SW Agile",'Setup Parameters'!$I$6 = "SW Agile"),"Story Point","Complexity Point")))</f>
        <v/>
      </c>
      <c r="AI47" s="81" t="str">
        <f t="shared" si="8"/>
        <v/>
      </c>
    </row>
    <row r="48" spans="1:35" x14ac:dyDescent="0.25">
      <c r="A48" s="69" t="str">
        <f t="shared" si="3"/>
        <v/>
      </c>
      <c r="B48" s="70" t="str">
        <f t="shared" si="0"/>
        <v/>
      </c>
      <c r="C48" s="71" t="str">
        <f t="shared" si="1"/>
        <v/>
      </c>
      <c r="D48" s="71" t="str">
        <f t="shared" si="2"/>
        <v/>
      </c>
      <c r="E48" s="71" t="str">
        <f t="shared" si="4"/>
        <v/>
      </c>
      <c r="F48" s="71" t="str">
        <f t="shared" si="5"/>
        <v/>
      </c>
      <c r="G48" s="71" t="str">
        <f t="shared" si="6"/>
        <v/>
      </c>
      <c r="Z48"/>
      <c r="AA48"/>
      <c r="AB48"/>
      <c r="AC48"/>
      <c r="AD48"/>
      <c r="AF48" s="77" t="str">
        <f t="shared" si="7"/>
        <v/>
      </c>
      <c r="AG48" s="82" t="str">
        <f>IF(OR(AA48="",AA48="Grand Total"),"",VLOOKUP(AA48,'Team Details'!B:C,2,0))</f>
        <v/>
      </c>
      <c r="AH48" s="81" t="str">
        <f>IF(OR(AA48="",AA48="Grand Total"),"",(IF(OR('Setup Parameters'!$C$6 = "SW Agile",'Setup Parameters'!$I$6 = "SW Agile"),"Story Point","Complexity Point")))</f>
        <v/>
      </c>
      <c r="AI48" s="81" t="str">
        <f t="shared" si="8"/>
        <v/>
      </c>
    </row>
    <row r="49" spans="1:35" x14ac:dyDescent="0.25">
      <c r="A49" s="69" t="str">
        <f t="shared" si="3"/>
        <v/>
      </c>
      <c r="B49" s="70" t="str">
        <f t="shared" si="0"/>
        <v/>
      </c>
      <c r="C49" s="71" t="str">
        <f t="shared" si="1"/>
        <v/>
      </c>
      <c r="D49" s="71" t="str">
        <f t="shared" si="2"/>
        <v/>
      </c>
      <c r="E49" s="71" t="str">
        <f t="shared" si="4"/>
        <v/>
      </c>
      <c r="F49" s="71" t="str">
        <f t="shared" si="5"/>
        <v/>
      </c>
      <c r="G49" s="71" t="str">
        <f t="shared" si="6"/>
        <v/>
      </c>
      <c r="Z49"/>
      <c r="AA49"/>
      <c r="AB49"/>
      <c r="AC49"/>
      <c r="AD49"/>
      <c r="AF49" s="77" t="str">
        <f t="shared" si="7"/>
        <v/>
      </c>
      <c r="AG49" s="82" t="str">
        <f>IF(OR(AA49="",AA49="Grand Total"),"",VLOOKUP(AA49,'Team Details'!B:C,2,0))</f>
        <v/>
      </c>
      <c r="AH49" s="81" t="str">
        <f>IF(OR(AA49="",AA49="Grand Total"),"",(IF(OR('Setup Parameters'!$C$6 = "SW Agile",'Setup Parameters'!$I$6 = "SW Agile"),"Story Point","Complexity Point")))</f>
        <v/>
      </c>
      <c r="AI49" s="81" t="str">
        <f t="shared" si="8"/>
        <v/>
      </c>
    </row>
    <row r="50" spans="1:35" x14ac:dyDescent="0.25">
      <c r="A50" s="69" t="str">
        <f t="shared" si="3"/>
        <v/>
      </c>
      <c r="B50" s="70" t="str">
        <f t="shared" si="0"/>
        <v/>
      </c>
      <c r="C50" s="71" t="str">
        <f t="shared" si="1"/>
        <v/>
      </c>
      <c r="D50" s="71" t="str">
        <f t="shared" si="2"/>
        <v/>
      </c>
      <c r="E50" s="71" t="str">
        <f t="shared" si="4"/>
        <v/>
      </c>
      <c r="F50" s="71" t="str">
        <f t="shared" si="5"/>
        <v/>
      </c>
      <c r="G50" s="71" t="str">
        <f t="shared" si="6"/>
        <v/>
      </c>
      <c r="Z50"/>
      <c r="AA50"/>
      <c r="AB50"/>
      <c r="AC50"/>
      <c r="AD50"/>
      <c r="AF50" s="77" t="str">
        <f t="shared" si="7"/>
        <v/>
      </c>
      <c r="AG50" s="82" t="str">
        <f>IF(OR(AA50="",AA50="Grand Total"),"",VLOOKUP(AA50,'Team Details'!B:C,2,0))</f>
        <v/>
      </c>
      <c r="AH50" s="81" t="str">
        <f>IF(OR(AA50="",AA50="Grand Total"),"",(IF(OR('Setup Parameters'!$C$6 = "SW Agile",'Setup Parameters'!$I$6 = "SW Agile"),"Story Point","Complexity Point")))</f>
        <v/>
      </c>
      <c r="AI50" s="81" t="str">
        <f t="shared" si="8"/>
        <v/>
      </c>
    </row>
    <row r="51" spans="1:35" x14ac:dyDescent="0.25">
      <c r="A51" s="69" t="str">
        <f t="shared" si="3"/>
        <v/>
      </c>
      <c r="B51" s="70" t="str">
        <f t="shared" si="0"/>
        <v/>
      </c>
      <c r="C51" s="71" t="str">
        <f t="shared" si="1"/>
        <v/>
      </c>
      <c r="D51" s="71" t="str">
        <f t="shared" si="2"/>
        <v/>
      </c>
      <c r="E51" s="71" t="str">
        <f t="shared" si="4"/>
        <v/>
      </c>
      <c r="F51" s="71" t="str">
        <f t="shared" si="5"/>
        <v/>
      </c>
      <c r="G51" s="71" t="str">
        <f t="shared" si="6"/>
        <v/>
      </c>
      <c r="Z51"/>
      <c r="AA51"/>
      <c r="AB51"/>
      <c r="AC51"/>
      <c r="AD51"/>
      <c r="AF51" s="77" t="str">
        <f t="shared" si="7"/>
        <v/>
      </c>
      <c r="AG51" s="82" t="str">
        <f>IF(OR(AA51="",AA51="Grand Total"),"",VLOOKUP(AA51,'Team Details'!B:C,2,0))</f>
        <v/>
      </c>
      <c r="AH51" s="81" t="str">
        <f>IF(OR(AA51="",AA51="Grand Total"),"",(IF(OR('Setup Parameters'!$C$6 = "SW Agile",'Setup Parameters'!$I$6 = "SW Agile"),"Story Point","Complexity Point")))</f>
        <v/>
      </c>
      <c r="AI51" s="81" t="str">
        <f t="shared" si="8"/>
        <v/>
      </c>
    </row>
    <row r="52" spans="1:35" x14ac:dyDescent="0.25">
      <c r="A52" s="69" t="str">
        <f t="shared" si="3"/>
        <v/>
      </c>
      <c r="B52" s="70" t="str">
        <f t="shared" si="0"/>
        <v/>
      </c>
      <c r="C52" s="71" t="str">
        <f t="shared" si="1"/>
        <v/>
      </c>
      <c r="D52" s="71" t="str">
        <f t="shared" si="2"/>
        <v/>
      </c>
      <c r="E52" s="71" t="str">
        <f t="shared" si="4"/>
        <v/>
      </c>
      <c r="F52" s="71" t="str">
        <f t="shared" si="5"/>
        <v/>
      </c>
      <c r="G52" s="71" t="str">
        <f t="shared" si="6"/>
        <v/>
      </c>
      <c r="Z52"/>
      <c r="AA52"/>
      <c r="AB52"/>
      <c r="AC52"/>
      <c r="AD52"/>
      <c r="AF52" s="77" t="str">
        <f t="shared" si="7"/>
        <v/>
      </c>
      <c r="AG52" s="82" t="str">
        <f>IF(OR(AA52="",AA52="Grand Total"),"",VLOOKUP(AA52,'Team Details'!B:C,2,0))</f>
        <v/>
      </c>
      <c r="AH52" s="81" t="str">
        <f>IF(OR(AA52="",AA52="Grand Total"),"",(IF(OR('Setup Parameters'!$C$6 = "SW Agile",'Setup Parameters'!$I$6 = "SW Agile"),"Story Point","Complexity Point")))</f>
        <v/>
      </c>
      <c r="AI52" s="81" t="str">
        <f t="shared" si="8"/>
        <v/>
      </c>
    </row>
    <row r="53" spans="1:35" x14ac:dyDescent="0.25">
      <c r="A53" s="69" t="str">
        <f t="shared" si="3"/>
        <v/>
      </c>
      <c r="B53" s="70" t="str">
        <f t="shared" si="0"/>
        <v/>
      </c>
      <c r="C53" s="71" t="str">
        <f t="shared" si="1"/>
        <v/>
      </c>
      <c r="D53" s="71" t="str">
        <f t="shared" si="2"/>
        <v/>
      </c>
      <c r="E53" s="71" t="str">
        <f t="shared" si="4"/>
        <v/>
      </c>
      <c r="F53" s="71" t="str">
        <f t="shared" si="5"/>
        <v/>
      </c>
      <c r="G53" s="71" t="str">
        <f t="shared" si="6"/>
        <v/>
      </c>
      <c r="Z53"/>
      <c r="AA53"/>
      <c r="AB53"/>
      <c r="AC53"/>
      <c r="AD53"/>
      <c r="AF53" s="77" t="str">
        <f t="shared" si="7"/>
        <v/>
      </c>
      <c r="AG53" s="82" t="str">
        <f>IF(OR(AA53="",AA53="Grand Total"),"",VLOOKUP(AA53,'Team Details'!B:C,2,0))</f>
        <v/>
      </c>
      <c r="AH53" s="81" t="str">
        <f>IF(OR(AA53="",AA53="Grand Total"),"",(IF(OR('Setup Parameters'!$C$6 = "SW Agile",'Setup Parameters'!$I$6 = "SW Agile"),"Story Point","Complexity Point")))</f>
        <v/>
      </c>
      <c r="AI53" s="81" t="str">
        <f t="shared" si="8"/>
        <v/>
      </c>
    </row>
    <row r="54" spans="1:35" x14ac:dyDescent="0.25">
      <c r="A54" s="69" t="str">
        <f t="shared" si="3"/>
        <v/>
      </c>
      <c r="B54" s="70" t="str">
        <f t="shared" si="0"/>
        <v/>
      </c>
      <c r="C54" s="71" t="str">
        <f t="shared" si="1"/>
        <v/>
      </c>
      <c r="D54" s="71" t="str">
        <f t="shared" si="2"/>
        <v/>
      </c>
      <c r="E54" s="71" t="str">
        <f t="shared" si="4"/>
        <v/>
      </c>
      <c r="F54" s="71" t="str">
        <f t="shared" si="5"/>
        <v/>
      </c>
      <c r="G54" s="71" t="str">
        <f t="shared" si="6"/>
        <v/>
      </c>
      <c r="Z54"/>
      <c r="AA54"/>
      <c r="AB54"/>
      <c r="AC54"/>
      <c r="AD54"/>
      <c r="AF54" s="77" t="str">
        <f t="shared" si="7"/>
        <v/>
      </c>
      <c r="AG54" s="82" t="str">
        <f>IF(OR(AA54="",AA54="Grand Total"),"",VLOOKUP(AA54,'Team Details'!B:C,2,0))</f>
        <v/>
      </c>
      <c r="AH54" s="81" t="str">
        <f>IF(OR(AA54="",AA54="Grand Total"),"",(IF(OR('Setup Parameters'!$C$6 = "SW Agile",'Setup Parameters'!$I$6 = "SW Agile"),"Story Point","Complexity Point")))</f>
        <v/>
      </c>
      <c r="AI54" s="81" t="str">
        <f t="shared" si="8"/>
        <v/>
      </c>
    </row>
    <row r="55" spans="1:35" x14ac:dyDescent="0.25">
      <c r="A55" s="69" t="str">
        <f t="shared" si="3"/>
        <v/>
      </c>
      <c r="B55" s="70" t="str">
        <f t="shared" si="0"/>
        <v/>
      </c>
      <c r="C55" s="71" t="str">
        <f t="shared" si="1"/>
        <v/>
      </c>
      <c r="D55" s="71" t="str">
        <f t="shared" si="2"/>
        <v/>
      </c>
      <c r="E55" s="71" t="str">
        <f t="shared" si="4"/>
        <v/>
      </c>
      <c r="F55" s="71" t="str">
        <f t="shared" si="5"/>
        <v/>
      </c>
      <c r="G55" s="71" t="str">
        <f t="shared" si="6"/>
        <v/>
      </c>
      <c r="AF55" s="77" t="str">
        <f t="shared" si="7"/>
        <v/>
      </c>
      <c r="AG55" s="82" t="str">
        <f>IF(OR(AA55="",AA55="Grand Total"),"",VLOOKUP(AA55,'Team Details'!B:C,2,0))</f>
        <v/>
      </c>
      <c r="AH55" s="81" t="str">
        <f>IF(OR(AA55="",AA55="Grand Total"),"",(IF(OR('Setup Parameters'!$C$6 = "SW Agile",'Setup Parameters'!$I$6 = "SW Agile"),"Story Point","Complexity Point")))</f>
        <v/>
      </c>
      <c r="AI55" s="81" t="str">
        <f t="shared" si="8"/>
        <v/>
      </c>
    </row>
    <row r="56" spans="1:35" x14ac:dyDescent="0.25">
      <c r="A56" s="69" t="str">
        <f t="shared" si="3"/>
        <v/>
      </c>
      <c r="B56" s="70" t="str">
        <f t="shared" si="0"/>
        <v/>
      </c>
      <c r="C56" s="71" t="str">
        <f t="shared" si="1"/>
        <v/>
      </c>
      <c r="D56" s="71" t="str">
        <f t="shared" si="2"/>
        <v/>
      </c>
      <c r="E56" s="71" t="str">
        <f t="shared" si="4"/>
        <v/>
      </c>
      <c r="F56" s="71" t="str">
        <f t="shared" si="5"/>
        <v/>
      </c>
      <c r="G56" s="71" t="str">
        <f t="shared" si="6"/>
        <v/>
      </c>
      <c r="AF56" s="77" t="str">
        <f t="shared" si="7"/>
        <v/>
      </c>
      <c r="AG56" s="82" t="str">
        <f>IF(OR(AA56="",AA56="Grand Total"),"",VLOOKUP(AA56,'Team Details'!B:C,2,0))</f>
        <v/>
      </c>
      <c r="AH56" s="81" t="str">
        <f>IF(OR(AA56="",AA56="Grand Total"),"",(IF(OR('Setup Parameters'!$C$6 = "SW Agile",'Setup Parameters'!$I$6 = "SW Agile"),"Story Point","Complexity Point")))</f>
        <v/>
      </c>
      <c r="AI56" s="81" t="str">
        <f t="shared" si="8"/>
        <v/>
      </c>
    </row>
    <row r="57" spans="1:35" x14ac:dyDescent="0.25">
      <c r="A57" s="69" t="str">
        <f t="shared" si="3"/>
        <v/>
      </c>
      <c r="B57" s="70" t="str">
        <f t="shared" si="0"/>
        <v/>
      </c>
      <c r="C57" s="71" t="str">
        <f t="shared" si="1"/>
        <v/>
      </c>
      <c r="D57" s="71" t="str">
        <f t="shared" si="2"/>
        <v/>
      </c>
      <c r="E57" s="71" t="str">
        <f t="shared" si="4"/>
        <v/>
      </c>
      <c r="F57" s="71" t="str">
        <f t="shared" si="5"/>
        <v/>
      </c>
      <c r="G57" s="71" t="str">
        <f t="shared" si="6"/>
        <v/>
      </c>
      <c r="AF57" s="77" t="str">
        <f t="shared" si="7"/>
        <v/>
      </c>
      <c r="AG57" s="82" t="str">
        <f>IF(OR(AA57="",AA57="Grand Total"),"",VLOOKUP(AA57,'Team Details'!B:C,2,0))</f>
        <v/>
      </c>
      <c r="AH57" s="81" t="str">
        <f>IF(OR(AA57="",AA57="Grand Total"),"",(IF(OR('Setup Parameters'!$C$6 = "SW Agile",'Setup Parameters'!$I$6 = "SW Agile"),"Story Point","Complexity Point")))</f>
        <v/>
      </c>
      <c r="AI57" s="81" t="str">
        <f t="shared" si="8"/>
        <v/>
      </c>
    </row>
    <row r="58" spans="1:35" x14ac:dyDescent="0.25">
      <c r="A58" s="69" t="str">
        <f t="shared" si="3"/>
        <v/>
      </c>
      <c r="B58" s="70" t="str">
        <f t="shared" si="0"/>
        <v/>
      </c>
      <c r="C58" s="71" t="str">
        <f t="shared" si="1"/>
        <v/>
      </c>
      <c r="D58" s="71" t="str">
        <f t="shared" si="2"/>
        <v/>
      </c>
      <c r="E58" s="71" t="str">
        <f t="shared" si="4"/>
        <v/>
      </c>
      <c r="F58" s="71" t="str">
        <f t="shared" si="5"/>
        <v/>
      </c>
      <c r="G58" s="71" t="str">
        <f t="shared" si="6"/>
        <v/>
      </c>
      <c r="AF58" s="77" t="str">
        <f t="shared" si="7"/>
        <v/>
      </c>
      <c r="AG58" s="82" t="str">
        <f>IF(OR(AA58="",AA58="Grand Total"),"",VLOOKUP(AA58,'Team Details'!B:C,2,0))</f>
        <v/>
      </c>
      <c r="AH58" s="81" t="str">
        <f>IF(OR(AA58="",AA58="Grand Total"),"",(IF(OR('Setup Parameters'!$C$6 = "SW Agile",'Setup Parameters'!$I$6 = "SW Agile"),"Story Point","Complexity Point")))</f>
        <v/>
      </c>
      <c r="AI58" s="81" t="str">
        <f t="shared" si="8"/>
        <v/>
      </c>
    </row>
    <row r="59" spans="1:35" x14ac:dyDescent="0.25">
      <c r="A59" s="69" t="str">
        <f t="shared" si="3"/>
        <v/>
      </c>
      <c r="B59" s="70" t="str">
        <f t="shared" si="0"/>
        <v/>
      </c>
      <c r="C59" s="71" t="str">
        <f t="shared" si="1"/>
        <v/>
      </c>
      <c r="D59" s="71" t="str">
        <f t="shared" si="2"/>
        <v/>
      </c>
      <c r="E59" s="71" t="str">
        <f t="shared" si="4"/>
        <v/>
      </c>
      <c r="F59" s="71" t="str">
        <f t="shared" si="5"/>
        <v/>
      </c>
      <c r="G59" s="71" t="str">
        <f t="shared" si="6"/>
        <v/>
      </c>
      <c r="AF59" s="77" t="str">
        <f t="shared" si="7"/>
        <v/>
      </c>
      <c r="AG59" s="82" t="str">
        <f>IF(OR(AA59="",AA59="Grand Total"),"",VLOOKUP(AA59,'Team Details'!B:C,2,0))</f>
        <v/>
      </c>
      <c r="AH59" s="81" t="str">
        <f>IF(OR(AA59="",AA59="Grand Total"),"",(IF(OR('Setup Parameters'!$C$6 = "SW Agile",'Setup Parameters'!$I$6 = "SW Agile"),"Story Point","Complexity Point")))</f>
        <v/>
      </c>
      <c r="AI59" s="81" t="str">
        <f t="shared" si="8"/>
        <v/>
      </c>
    </row>
    <row r="60" spans="1:35" x14ac:dyDescent="0.25">
      <c r="A60" s="69" t="str">
        <f t="shared" si="3"/>
        <v/>
      </c>
      <c r="B60" s="70" t="str">
        <f t="shared" si="0"/>
        <v/>
      </c>
      <c r="C60" s="71" t="str">
        <f t="shared" si="1"/>
        <v/>
      </c>
      <c r="D60" s="71" t="str">
        <f t="shared" si="2"/>
        <v/>
      </c>
      <c r="E60" s="71" t="str">
        <f t="shared" si="4"/>
        <v/>
      </c>
      <c r="F60" s="71" t="str">
        <f t="shared" si="5"/>
        <v/>
      </c>
      <c r="G60" s="71" t="str">
        <f t="shared" si="6"/>
        <v/>
      </c>
      <c r="AF60" s="77" t="str">
        <f t="shared" si="7"/>
        <v/>
      </c>
      <c r="AG60" s="82" t="str">
        <f>IF(OR(AA60="",AA60="Grand Total"),"",VLOOKUP(AA60,'Team Details'!B:C,2,0))</f>
        <v/>
      </c>
      <c r="AH60" s="81" t="str">
        <f>IF(OR(AA60="",AA60="Grand Total"),"",(IF(OR('Setup Parameters'!$C$6 = "SW Agile",'Setup Parameters'!$I$6 = "SW Agile"),"Story Point","Complexity Point")))</f>
        <v/>
      </c>
      <c r="AI60" s="81" t="str">
        <f t="shared" si="8"/>
        <v/>
      </c>
    </row>
    <row r="61" spans="1:35" x14ac:dyDescent="0.25">
      <c r="A61" s="69" t="str">
        <f t="shared" si="3"/>
        <v/>
      </c>
      <c r="B61" s="70" t="str">
        <f t="shared" si="0"/>
        <v/>
      </c>
      <c r="C61" s="71" t="str">
        <f t="shared" si="1"/>
        <v/>
      </c>
      <c r="D61" s="71" t="str">
        <f t="shared" si="2"/>
        <v/>
      </c>
      <c r="E61" s="71" t="str">
        <f t="shared" si="4"/>
        <v/>
      </c>
      <c r="F61" s="71" t="str">
        <f t="shared" si="5"/>
        <v/>
      </c>
      <c r="G61" s="71" t="str">
        <f t="shared" si="6"/>
        <v/>
      </c>
      <c r="AF61" s="77" t="str">
        <f t="shared" si="7"/>
        <v/>
      </c>
      <c r="AG61" s="82" t="str">
        <f>IF(OR(AA61="",AA61="Grand Total"),"",VLOOKUP(AA61,'Team Details'!B:C,2,0))</f>
        <v/>
      </c>
      <c r="AH61" s="81" t="str">
        <f>IF(OR(AA61="",AA61="Grand Total"),"",(IF(OR('Setup Parameters'!$C$6 = "SW Agile",'Setup Parameters'!$I$6 = "SW Agile"),"Story Point","Complexity Point")))</f>
        <v/>
      </c>
      <c r="AI61" s="81" t="str">
        <f t="shared" si="8"/>
        <v/>
      </c>
    </row>
    <row r="62" spans="1:35" x14ac:dyDescent="0.25">
      <c r="A62" s="69" t="str">
        <f t="shared" si="3"/>
        <v/>
      </c>
      <c r="B62" s="70" t="str">
        <f t="shared" si="0"/>
        <v/>
      </c>
      <c r="C62" s="71" t="str">
        <f t="shared" si="1"/>
        <v/>
      </c>
      <c r="D62" s="71" t="str">
        <f t="shared" si="2"/>
        <v/>
      </c>
      <c r="E62" s="71" t="str">
        <f t="shared" si="4"/>
        <v/>
      </c>
      <c r="F62" s="71" t="str">
        <f t="shared" si="5"/>
        <v/>
      </c>
      <c r="G62" s="71" t="str">
        <f t="shared" si="6"/>
        <v/>
      </c>
      <c r="AF62" s="77" t="str">
        <f t="shared" si="7"/>
        <v/>
      </c>
      <c r="AG62" s="82" t="str">
        <f>IF(OR(AA62="",AA62="Grand Total"),"",VLOOKUP(AA62,'Team Details'!B:C,2,0))</f>
        <v/>
      </c>
      <c r="AH62" s="81" t="str">
        <f>IF(OR(AA62="",AA62="Grand Total"),"",(IF(OR('Setup Parameters'!$C$6 = "SW Agile",'Setup Parameters'!$I$6 = "SW Agile"),"Story Point","Complexity Point")))</f>
        <v/>
      </c>
      <c r="AI62" s="81" t="str">
        <f t="shared" si="8"/>
        <v/>
      </c>
    </row>
    <row r="63" spans="1:35" x14ac:dyDescent="0.25">
      <c r="A63" s="69" t="str">
        <f t="shared" si="3"/>
        <v/>
      </c>
      <c r="B63" s="70" t="str">
        <f t="shared" si="0"/>
        <v/>
      </c>
      <c r="C63" s="71" t="str">
        <f t="shared" si="1"/>
        <v/>
      </c>
      <c r="D63" s="71" t="str">
        <f t="shared" si="2"/>
        <v/>
      </c>
      <c r="E63" s="71" t="str">
        <f t="shared" si="4"/>
        <v/>
      </c>
      <c r="F63" s="71" t="str">
        <f t="shared" si="5"/>
        <v/>
      </c>
      <c r="G63" s="71" t="str">
        <f t="shared" si="6"/>
        <v/>
      </c>
      <c r="AF63" s="77" t="str">
        <f t="shared" si="7"/>
        <v/>
      </c>
      <c r="AG63" s="82" t="str">
        <f>IF(OR(AA63="",AA63="Grand Total"),"",VLOOKUP(AA63,'Team Details'!B:C,2,0))</f>
        <v/>
      </c>
      <c r="AH63" s="81" t="str">
        <f>IF(OR(AA63="",AA63="Grand Total"),"",(IF(OR('Setup Parameters'!$C$6 = "SW Agile",'Setup Parameters'!$I$6 = "SW Agile"),"Story Point","Complexity Point")))</f>
        <v/>
      </c>
      <c r="AI63" s="81" t="str">
        <f t="shared" si="8"/>
        <v/>
      </c>
    </row>
    <row r="64" spans="1:35" x14ac:dyDescent="0.25">
      <c r="A64" s="69" t="str">
        <f t="shared" si="3"/>
        <v/>
      </c>
      <c r="B64" s="70" t="str">
        <f t="shared" si="0"/>
        <v/>
      </c>
      <c r="C64" s="71" t="str">
        <f t="shared" si="1"/>
        <v/>
      </c>
      <c r="D64" s="71" t="str">
        <f t="shared" si="2"/>
        <v/>
      </c>
      <c r="E64" s="71" t="str">
        <f t="shared" si="4"/>
        <v/>
      </c>
      <c r="F64" s="71" t="str">
        <f t="shared" si="5"/>
        <v/>
      </c>
      <c r="G64" s="71" t="str">
        <f t="shared" si="6"/>
        <v/>
      </c>
      <c r="AF64" s="77" t="str">
        <f t="shared" si="7"/>
        <v/>
      </c>
      <c r="AG64" s="82" t="str">
        <f>IF(OR(AA64="",AA64="Grand Total"),"",VLOOKUP(AA64,'Team Details'!B:C,2,0))</f>
        <v/>
      </c>
      <c r="AH64" s="81" t="str">
        <f>IF(OR(AA64="",AA64="Grand Total"),"",(IF(OR('Setup Parameters'!$C$6 = "SW Agile",'Setup Parameters'!$I$6 = "SW Agile"),"Story Point","Complexity Point")))</f>
        <v/>
      </c>
      <c r="AI64" s="81" t="str">
        <f t="shared" si="8"/>
        <v/>
      </c>
    </row>
    <row r="65" spans="1:35" x14ac:dyDescent="0.25">
      <c r="A65" s="69" t="str">
        <f t="shared" si="3"/>
        <v/>
      </c>
      <c r="B65" s="70" t="str">
        <f t="shared" si="0"/>
        <v/>
      </c>
      <c r="C65" s="71" t="str">
        <f t="shared" si="1"/>
        <v/>
      </c>
      <c r="D65" s="71" t="str">
        <f t="shared" si="2"/>
        <v/>
      </c>
      <c r="E65" s="71" t="str">
        <f t="shared" si="4"/>
        <v/>
      </c>
      <c r="F65" s="71" t="str">
        <f t="shared" si="5"/>
        <v/>
      </c>
      <c r="G65" s="71" t="str">
        <f t="shared" si="6"/>
        <v/>
      </c>
      <c r="AF65" s="77" t="str">
        <f t="shared" si="7"/>
        <v/>
      </c>
      <c r="AG65" s="82" t="str">
        <f>IF(OR(AA65="",AA65="Grand Total"),"",VLOOKUP(AA65,'Team Details'!B:C,2,0))</f>
        <v/>
      </c>
      <c r="AH65" s="81" t="str">
        <f>IF(OR(AA65="",AA65="Grand Total"),"",(IF(OR('Setup Parameters'!$C$6 = "SW Agile",'Setup Parameters'!$I$6 = "SW Agile"),"Story Point","Complexity Point")))</f>
        <v/>
      </c>
      <c r="AI65" s="81" t="str">
        <f t="shared" si="8"/>
        <v/>
      </c>
    </row>
    <row r="66" spans="1:35" x14ac:dyDescent="0.25">
      <c r="A66" s="69" t="str">
        <f t="shared" si="3"/>
        <v/>
      </c>
      <c r="B66" s="70" t="str">
        <f t="shared" ref="B66:B129" si="9">AG69</f>
        <v/>
      </c>
      <c r="C66" s="71" t="str">
        <f t="shared" ref="C66:C129" si="10">AH69</f>
        <v/>
      </c>
      <c r="D66" s="71" t="str">
        <f t="shared" ref="D66:D129" si="11">AI69</f>
        <v/>
      </c>
      <c r="E66" s="71" t="str">
        <f t="shared" si="4"/>
        <v/>
      </c>
      <c r="F66" s="71" t="str">
        <f t="shared" si="5"/>
        <v/>
      </c>
      <c r="G66" s="71" t="str">
        <f t="shared" si="6"/>
        <v/>
      </c>
      <c r="AF66" s="77" t="str">
        <f t="shared" si="7"/>
        <v/>
      </c>
      <c r="AG66" s="82" t="str">
        <f>IF(OR(AA66="",AA66="Grand Total"),"",VLOOKUP(AA66,'Team Details'!B:C,2,0))</f>
        <v/>
      </c>
      <c r="AH66" s="81" t="str">
        <f>IF(OR(AA66="",AA66="Grand Total"),"",(IF(OR('Setup Parameters'!$C$6 = "SW Agile",'Setup Parameters'!$I$6 = "SW Agile"),"Story Point","Complexity Point")))</f>
        <v/>
      </c>
      <c r="AI66" s="81" t="str">
        <f t="shared" si="8"/>
        <v/>
      </c>
    </row>
    <row r="67" spans="1:35" x14ac:dyDescent="0.25">
      <c r="A67" s="69" t="str">
        <f t="shared" ref="A67:A130" si="12">IF(AF70="","",AF70)</f>
        <v/>
      </c>
      <c r="B67" s="70" t="str">
        <f t="shared" si="9"/>
        <v/>
      </c>
      <c r="C67" s="71" t="str">
        <f t="shared" si="10"/>
        <v/>
      </c>
      <c r="D67" s="71" t="str">
        <f t="shared" si="11"/>
        <v/>
      </c>
      <c r="E67" s="71" t="str">
        <f t="shared" ref="E67:E130" si="13">IF(AB70="","",AB70)</f>
        <v/>
      </c>
      <c r="F67" s="71" t="str">
        <f t="shared" ref="F67:F130" si="14">IF(AC70="","",AC70)</f>
        <v/>
      </c>
      <c r="G67" s="71" t="str">
        <f t="shared" ref="G67:G130" si="15">IF(AD70="","",AD70)</f>
        <v/>
      </c>
      <c r="AF67" s="77" t="str">
        <f t="shared" si="7"/>
        <v/>
      </c>
      <c r="AG67" s="82" t="str">
        <f>IF(OR(AA67="",AA67="Grand Total"),"",VLOOKUP(AA67,'Team Details'!B:C,2,0))</f>
        <v/>
      </c>
      <c r="AH67" s="81" t="str">
        <f>IF(OR(AA67="",AA67="Grand Total"),"",(IF(OR('Setup Parameters'!$C$6 = "SW Agile",'Setup Parameters'!$I$6 = "SW Agile"),"Story Point","Complexity Point")))</f>
        <v/>
      </c>
      <c r="AI67" s="81" t="str">
        <f t="shared" si="8"/>
        <v/>
      </c>
    </row>
    <row r="68" spans="1:35" x14ac:dyDescent="0.25">
      <c r="A68" s="69" t="str">
        <f t="shared" si="12"/>
        <v/>
      </c>
      <c r="B68" s="70" t="str">
        <f t="shared" si="9"/>
        <v/>
      </c>
      <c r="C68" s="71" t="str">
        <f t="shared" si="10"/>
        <v/>
      </c>
      <c r="D68" s="71" t="str">
        <f t="shared" si="11"/>
        <v/>
      </c>
      <c r="E68" s="71" t="str">
        <f t="shared" si="13"/>
        <v/>
      </c>
      <c r="F68" s="71" t="str">
        <f t="shared" si="14"/>
        <v/>
      </c>
      <c r="G68" s="71" t="str">
        <f t="shared" si="15"/>
        <v/>
      </c>
      <c r="AF68" s="77" t="str">
        <f t="shared" si="7"/>
        <v/>
      </c>
      <c r="AG68" s="82" t="str">
        <f>IF(OR(AA68="",AA68="Grand Total"),"",VLOOKUP(AA68,'Team Details'!B:C,2,0))</f>
        <v/>
      </c>
      <c r="AH68" s="81" t="str">
        <f>IF(OR(AA68="",AA68="Grand Total"),"",(IF(OR('Setup Parameters'!$C$6 = "SW Agile",'Setup Parameters'!$I$6 = "SW Agile"),"Story Point","Complexity Point")))</f>
        <v/>
      </c>
      <c r="AI68" s="81" t="str">
        <f t="shared" si="8"/>
        <v/>
      </c>
    </row>
    <row r="69" spans="1:35" x14ac:dyDescent="0.25">
      <c r="A69" s="69" t="str">
        <f t="shared" si="12"/>
        <v/>
      </c>
      <c r="B69" s="70" t="str">
        <f t="shared" si="9"/>
        <v/>
      </c>
      <c r="C69" s="71" t="str">
        <f t="shared" si="10"/>
        <v/>
      </c>
      <c r="D69" s="71" t="str">
        <f t="shared" si="11"/>
        <v/>
      </c>
      <c r="E69" s="71" t="str">
        <f t="shared" si="13"/>
        <v/>
      </c>
      <c r="F69" s="71" t="str">
        <f t="shared" si="14"/>
        <v/>
      </c>
      <c r="G69" s="71" t="str">
        <f t="shared" si="15"/>
        <v/>
      </c>
      <c r="AF69" s="77" t="str">
        <f t="shared" si="7"/>
        <v/>
      </c>
      <c r="AG69" s="82" t="str">
        <f>IF(OR(AA69="",AA69="Grand Total"),"",VLOOKUP(AA69,'Team Details'!B:C,2,0))</f>
        <v/>
      </c>
      <c r="AH69" s="81" t="str">
        <f>IF(OR(AA69="",AA69="Grand Total"),"",(IF(OR('Setup Parameters'!$C$6 = "SW Agile",'Setup Parameters'!$I$6 = "SW Agile"),"Story Point","Complexity Point")))</f>
        <v/>
      </c>
      <c r="AI69" s="81" t="str">
        <f t="shared" si="8"/>
        <v/>
      </c>
    </row>
    <row r="70" spans="1:35" x14ac:dyDescent="0.25">
      <c r="A70" s="69" t="str">
        <f t="shared" si="12"/>
        <v/>
      </c>
      <c r="B70" s="70" t="str">
        <f t="shared" si="9"/>
        <v/>
      </c>
      <c r="C70" s="71" t="str">
        <f t="shared" si="10"/>
        <v/>
      </c>
      <c r="D70" s="71" t="str">
        <f t="shared" si="11"/>
        <v/>
      </c>
      <c r="E70" s="71" t="str">
        <f t="shared" si="13"/>
        <v/>
      </c>
      <c r="F70" s="71" t="str">
        <f t="shared" si="14"/>
        <v/>
      </c>
      <c r="G70" s="71" t="str">
        <f t="shared" si="15"/>
        <v/>
      </c>
      <c r="AF70" s="77" t="str">
        <f t="shared" ref="AF70:AF133" si="16">IF(Z70="","",$Z70)</f>
        <v/>
      </c>
      <c r="AG70" s="82" t="str">
        <f>IF(OR(AA70="",AA70="Grand Total"),"",VLOOKUP(AA70,'Team Details'!B:C,2,0))</f>
        <v/>
      </c>
      <c r="AH70" s="81" t="str">
        <f>IF(OR(AA70="",AA70="Grand Total"),"",(IF(OR('Setup Parameters'!$C$6 = "SW Agile",'Setup Parameters'!$I$6 = "SW Agile"),"Story Point","Complexity Point")))</f>
        <v/>
      </c>
      <c r="AI70" s="81" t="str">
        <f t="shared" ref="AI70:AI133" si="17">IF(AH70="","",IF(AH70="Story Point","SP/PH","CP/PH"))</f>
        <v/>
      </c>
    </row>
    <row r="71" spans="1:35" x14ac:dyDescent="0.25">
      <c r="A71" s="69" t="str">
        <f t="shared" si="12"/>
        <v/>
      </c>
      <c r="B71" s="70" t="str">
        <f t="shared" si="9"/>
        <v/>
      </c>
      <c r="C71" s="71" t="str">
        <f t="shared" si="10"/>
        <v/>
      </c>
      <c r="D71" s="71" t="str">
        <f t="shared" si="11"/>
        <v/>
      </c>
      <c r="E71" s="71" t="str">
        <f t="shared" si="13"/>
        <v/>
      </c>
      <c r="F71" s="71" t="str">
        <f t="shared" si="14"/>
        <v/>
      </c>
      <c r="G71" s="71" t="str">
        <f t="shared" si="15"/>
        <v/>
      </c>
      <c r="AF71" s="77" t="str">
        <f t="shared" si="16"/>
        <v/>
      </c>
      <c r="AG71" s="82" t="str">
        <f>IF(OR(AA71="",AA71="Grand Total"),"",VLOOKUP(AA71,'Team Details'!B:C,2,0))</f>
        <v/>
      </c>
      <c r="AH71" s="81" t="str">
        <f>IF(OR(AA71="",AA71="Grand Total"),"",(IF(OR('Setup Parameters'!$C$6 = "SW Agile",'Setup Parameters'!$I$6 = "SW Agile"),"Story Point","Complexity Point")))</f>
        <v/>
      </c>
      <c r="AI71" s="81" t="str">
        <f t="shared" si="17"/>
        <v/>
      </c>
    </row>
    <row r="72" spans="1:35" x14ac:dyDescent="0.25">
      <c r="A72" s="69" t="str">
        <f t="shared" si="12"/>
        <v/>
      </c>
      <c r="B72" s="70" t="str">
        <f t="shared" si="9"/>
        <v/>
      </c>
      <c r="C72" s="71" t="str">
        <f t="shared" si="10"/>
        <v/>
      </c>
      <c r="D72" s="71" t="str">
        <f t="shared" si="11"/>
        <v/>
      </c>
      <c r="E72" s="71" t="str">
        <f t="shared" si="13"/>
        <v/>
      </c>
      <c r="F72" s="71" t="str">
        <f t="shared" si="14"/>
        <v/>
      </c>
      <c r="G72" s="71" t="str">
        <f t="shared" si="15"/>
        <v/>
      </c>
      <c r="AF72" s="77" t="str">
        <f t="shared" si="16"/>
        <v/>
      </c>
      <c r="AG72" s="82" t="str">
        <f>IF(OR(AA72="",AA72="Grand Total"),"",VLOOKUP(AA72,'Team Details'!B:C,2,0))</f>
        <v/>
      </c>
      <c r="AH72" s="81" t="str">
        <f>IF(OR(AA72="",AA72="Grand Total"),"",(IF(OR('Setup Parameters'!$C$6 = "SW Agile",'Setup Parameters'!$I$6 = "SW Agile"),"Story Point","Complexity Point")))</f>
        <v/>
      </c>
      <c r="AI72" s="81" t="str">
        <f t="shared" si="17"/>
        <v/>
      </c>
    </row>
    <row r="73" spans="1:35" x14ac:dyDescent="0.25">
      <c r="A73" s="69" t="str">
        <f t="shared" si="12"/>
        <v/>
      </c>
      <c r="B73" s="70" t="str">
        <f t="shared" si="9"/>
        <v/>
      </c>
      <c r="C73" s="71" t="str">
        <f t="shared" si="10"/>
        <v/>
      </c>
      <c r="D73" s="71" t="str">
        <f t="shared" si="11"/>
        <v/>
      </c>
      <c r="E73" s="71" t="str">
        <f t="shared" si="13"/>
        <v/>
      </c>
      <c r="F73" s="71" t="str">
        <f t="shared" si="14"/>
        <v/>
      </c>
      <c r="G73" s="71" t="str">
        <f t="shared" si="15"/>
        <v/>
      </c>
      <c r="AF73" s="77" t="str">
        <f t="shared" si="16"/>
        <v/>
      </c>
      <c r="AG73" s="82" t="str">
        <f>IF(OR(AA73="",AA73="Grand Total"),"",VLOOKUP(AA73,'Team Details'!B:C,2,0))</f>
        <v/>
      </c>
      <c r="AH73" s="81" t="str">
        <f>IF(OR(AA73="",AA73="Grand Total"),"",(IF(OR('Setup Parameters'!$C$6 = "SW Agile",'Setup Parameters'!$I$6 = "SW Agile"),"Story Point","Complexity Point")))</f>
        <v/>
      </c>
      <c r="AI73" s="81" t="str">
        <f t="shared" si="17"/>
        <v/>
      </c>
    </row>
    <row r="74" spans="1:35" x14ac:dyDescent="0.25">
      <c r="A74" s="69" t="str">
        <f t="shared" si="12"/>
        <v/>
      </c>
      <c r="B74" s="70" t="str">
        <f t="shared" si="9"/>
        <v/>
      </c>
      <c r="C74" s="71" t="str">
        <f t="shared" si="10"/>
        <v/>
      </c>
      <c r="D74" s="71" t="str">
        <f t="shared" si="11"/>
        <v/>
      </c>
      <c r="E74" s="71" t="str">
        <f t="shared" si="13"/>
        <v/>
      </c>
      <c r="F74" s="71" t="str">
        <f t="shared" si="14"/>
        <v/>
      </c>
      <c r="G74" s="71" t="str">
        <f t="shared" si="15"/>
        <v/>
      </c>
      <c r="AF74" s="77" t="str">
        <f t="shared" si="16"/>
        <v/>
      </c>
      <c r="AG74" s="82" t="str">
        <f>IF(OR(AA74="",AA74="Grand Total"),"",VLOOKUP(AA74,'Team Details'!B:C,2,0))</f>
        <v/>
      </c>
      <c r="AH74" s="81" t="str">
        <f>IF(OR(AA74="",AA74="Grand Total"),"",(IF(OR('Setup Parameters'!$C$6 = "SW Agile",'Setup Parameters'!$I$6 = "SW Agile"),"Story Point","Complexity Point")))</f>
        <v/>
      </c>
      <c r="AI74" s="81" t="str">
        <f t="shared" si="17"/>
        <v/>
      </c>
    </row>
    <row r="75" spans="1:35" x14ac:dyDescent="0.25">
      <c r="A75" s="69" t="str">
        <f t="shared" si="12"/>
        <v/>
      </c>
      <c r="B75" s="70" t="str">
        <f t="shared" si="9"/>
        <v/>
      </c>
      <c r="C75" s="71" t="str">
        <f t="shared" si="10"/>
        <v/>
      </c>
      <c r="D75" s="71" t="str">
        <f t="shared" si="11"/>
        <v/>
      </c>
      <c r="E75" s="71" t="str">
        <f t="shared" si="13"/>
        <v/>
      </c>
      <c r="F75" s="71" t="str">
        <f t="shared" si="14"/>
        <v/>
      </c>
      <c r="G75" s="71" t="str">
        <f t="shared" si="15"/>
        <v/>
      </c>
      <c r="AF75" s="77" t="str">
        <f t="shared" si="16"/>
        <v/>
      </c>
      <c r="AG75" s="82" t="str">
        <f>IF(OR(AA75="",AA75="Grand Total"),"",VLOOKUP(AA75,'Team Details'!B:C,2,0))</f>
        <v/>
      </c>
      <c r="AH75" s="81" t="str">
        <f>IF(OR(AA75="",AA75="Grand Total"),"",(IF(OR('Setup Parameters'!$C$6 = "SW Agile",'Setup Parameters'!$I$6 = "SW Agile"),"Story Point","Complexity Point")))</f>
        <v/>
      </c>
      <c r="AI75" s="81" t="str">
        <f t="shared" si="17"/>
        <v/>
      </c>
    </row>
    <row r="76" spans="1:35" x14ac:dyDescent="0.25">
      <c r="A76" s="69" t="str">
        <f t="shared" si="12"/>
        <v/>
      </c>
      <c r="B76" s="70" t="str">
        <f t="shared" si="9"/>
        <v/>
      </c>
      <c r="C76" s="71" t="str">
        <f t="shared" si="10"/>
        <v/>
      </c>
      <c r="D76" s="71" t="str">
        <f t="shared" si="11"/>
        <v/>
      </c>
      <c r="E76" s="71" t="str">
        <f t="shared" si="13"/>
        <v/>
      </c>
      <c r="F76" s="71" t="str">
        <f t="shared" si="14"/>
        <v/>
      </c>
      <c r="G76" s="71" t="str">
        <f t="shared" si="15"/>
        <v/>
      </c>
      <c r="AF76" s="77" t="str">
        <f t="shared" si="16"/>
        <v/>
      </c>
      <c r="AG76" s="82" t="str">
        <f>IF(OR(AA76="",AA76="Grand Total"),"",VLOOKUP(AA76,'Team Details'!B:C,2,0))</f>
        <v/>
      </c>
      <c r="AH76" s="81" t="str">
        <f>IF(OR(AA76="",AA76="Grand Total"),"",(IF(OR('Setup Parameters'!$C$6 = "SW Agile",'Setup Parameters'!$I$6 = "SW Agile"),"Story Point","Complexity Point")))</f>
        <v/>
      </c>
      <c r="AI76" s="81" t="str">
        <f t="shared" si="17"/>
        <v/>
      </c>
    </row>
    <row r="77" spans="1:35" x14ac:dyDescent="0.25">
      <c r="A77" s="69" t="str">
        <f t="shared" si="12"/>
        <v/>
      </c>
      <c r="B77" s="70" t="str">
        <f t="shared" si="9"/>
        <v/>
      </c>
      <c r="C77" s="71" t="str">
        <f t="shared" si="10"/>
        <v/>
      </c>
      <c r="D77" s="71" t="str">
        <f t="shared" si="11"/>
        <v/>
      </c>
      <c r="E77" s="71" t="str">
        <f t="shared" si="13"/>
        <v/>
      </c>
      <c r="F77" s="71" t="str">
        <f t="shared" si="14"/>
        <v/>
      </c>
      <c r="G77" s="71" t="str">
        <f t="shared" si="15"/>
        <v/>
      </c>
      <c r="AF77" s="77" t="str">
        <f t="shared" si="16"/>
        <v/>
      </c>
      <c r="AG77" s="82" t="str">
        <f>IF(OR(AA77="",AA77="Grand Total"),"",VLOOKUP(AA77,'Team Details'!B:C,2,0))</f>
        <v/>
      </c>
      <c r="AH77" s="81" t="str">
        <f>IF(OR(AA77="",AA77="Grand Total"),"",(IF(OR('Setup Parameters'!$C$6 = "SW Agile",'Setup Parameters'!$I$6 = "SW Agile"),"Story Point","Complexity Point")))</f>
        <v/>
      </c>
      <c r="AI77" s="81" t="str">
        <f t="shared" si="17"/>
        <v/>
      </c>
    </row>
    <row r="78" spans="1:35" x14ac:dyDescent="0.25">
      <c r="A78" s="69" t="str">
        <f t="shared" si="12"/>
        <v/>
      </c>
      <c r="B78" s="70" t="str">
        <f t="shared" si="9"/>
        <v/>
      </c>
      <c r="C78" s="71" t="str">
        <f t="shared" si="10"/>
        <v/>
      </c>
      <c r="D78" s="71" t="str">
        <f t="shared" si="11"/>
        <v/>
      </c>
      <c r="E78" s="71" t="str">
        <f t="shared" si="13"/>
        <v/>
      </c>
      <c r="F78" s="71" t="str">
        <f t="shared" si="14"/>
        <v/>
      </c>
      <c r="G78" s="71" t="str">
        <f t="shared" si="15"/>
        <v/>
      </c>
      <c r="AF78" s="77" t="str">
        <f t="shared" si="16"/>
        <v/>
      </c>
      <c r="AG78" s="82" t="str">
        <f>IF(OR(AA78="",AA78="Grand Total"),"",VLOOKUP(AA78,'Team Details'!B:C,2,0))</f>
        <v/>
      </c>
      <c r="AH78" s="81" t="str">
        <f>IF(OR(AA78="",AA78="Grand Total"),"",(IF(OR('Setup Parameters'!$C$6 = "SW Agile",'Setup Parameters'!$I$6 = "SW Agile"),"Story Point","Complexity Point")))</f>
        <v/>
      </c>
      <c r="AI78" s="81" t="str">
        <f t="shared" si="17"/>
        <v/>
      </c>
    </row>
    <row r="79" spans="1:35" x14ac:dyDescent="0.25">
      <c r="A79" s="69" t="str">
        <f t="shared" si="12"/>
        <v/>
      </c>
      <c r="B79" s="70" t="str">
        <f t="shared" si="9"/>
        <v/>
      </c>
      <c r="C79" s="71" t="str">
        <f t="shared" si="10"/>
        <v/>
      </c>
      <c r="D79" s="71" t="str">
        <f t="shared" si="11"/>
        <v/>
      </c>
      <c r="E79" s="71" t="str">
        <f t="shared" si="13"/>
        <v/>
      </c>
      <c r="F79" s="71" t="str">
        <f t="shared" si="14"/>
        <v/>
      </c>
      <c r="G79" s="71" t="str">
        <f t="shared" si="15"/>
        <v/>
      </c>
      <c r="AF79" s="77" t="str">
        <f t="shared" si="16"/>
        <v/>
      </c>
      <c r="AG79" s="82" t="str">
        <f>IF(OR(AA79="",AA79="Grand Total"),"",VLOOKUP(AA79,'Team Details'!B:C,2,0))</f>
        <v/>
      </c>
      <c r="AH79" s="81" t="str">
        <f>IF(OR(AA79="",AA79="Grand Total"),"",(IF(OR('Setup Parameters'!$C$6 = "SW Agile",'Setup Parameters'!$I$6 = "SW Agile"),"Story Point","Complexity Point")))</f>
        <v/>
      </c>
      <c r="AI79" s="81" t="str">
        <f t="shared" si="17"/>
        <v/>
      </c>
    </row>
    <row r="80" spans="1:35" x14ac:dyDescent="0.25">
      <c r="A80" s="69" t="str">
        <f t="shared" si="12"/>
        <v/>
      </c>
      <c r="B80" s="70" t="str">
        <f t="shared" si="9"/>
        <v/>
      </c>
      <c r="C80" s="71" t="str">
        <f t="shared" si="10"/>
        <v/>
      </c>
      <c r="D80" s="71" t="str">
        <f t="shared" si="11"/>
        <v/>
      </c>
      <c r="E80" s="71" t="str">
        <f t="shared" si="13"/>
        <v/>
      </c>
      <c r="F80" s="71" t="str">
        <f t="shared" si="14"/>
        <v/>
      </c>
      <c r="G80" s="71" t="str">
        <f t="shared" si="15"/>
        <v/>
      </c>
      <c r="AF80" s="77" t="str">
        <f t="shared" si="16"/>
        <v/>
      </c>
      <c r="AG80" s="82" t="str">
        <f>IF(OR(AA80="",AA80="Grand Total"),"",VLOOKUP(AA80,'Team Details'!B:C,2,0))</f>
        <v/>
      </c>
      <c r="AH80" s="81" t="str">
        <f>IF(OR(AA80="",AA80="Grand Total"),"",(IF(OR('Setup Parameters'!$C$6 = "SW Agile",'Setup Parameters'!$I$6 = "SW Agile"),"Story Point","Complexity Point")))</f>
        <v/>
      </c>
      <c r="AI80" s="81" t="str">
        <f t="shared" si="17"/>
        <v/>
      </c>
    </row>
    <row r="81" spans="1:35" x14ac:dyDescent="0.25">
      <c r="A81" s="69" t="str">
        <f t="shared" si="12"/>
        <v/>
      </c>
      <c r="B81" s="70" t="str">
        <f t="shared" si="9"/>
        <v/>
      </c>
      <c r="C81" s="71" t="str">
        <f t="shared" si="10"/>
        <v/>
      </c>
      <c r="D81" s="71" t="str">
        <f t="shared" si="11"/>
        <v/>
      </c>
      <c r="E81" s="71" t="str">
        <f t="shared" si="13"/>
        <v/>
      </c>
      <c r="F81" s="71" t="str">
        <f t="shared" si="14"/>
        <v/>
      </c>
      <c r="G81" s="71" t="str">
        <f t="shared" si="15"/>
        <v/>
      </c>
      <c r="AF81" s="77" t="str">
        <f t="shared" si="16"/>
        <v/>
      </c>
      <c r="AG81" s="82" t="str">
        <f>IF(OR(AA81="",AA81="Grand Total"),"",VLOOKUP(AA81,'Team Details'!B:C,2,0))</f>
        <v/>
      </c>
      <c r="AH81" s="81" t="str">
        <f>IF(OR(AA81="",AA81="Grand Total"),"",(IF(OR('Setup Parameters'!$C$6 = "SW Agile",'Setup Parameters'!$I$6 = "SW Agile"),"Story Point","Complexity Point")))</f>
        <v/>
      </c>
      <c r="AI81" s="81" t="str">
        <f t="shared" si="17"/>
        <v/>
      </c>
    </row>
    <row r="82" spans="1:35" x14ac:dyDescent="0.25">
      <c r="A82" s="69" t="str">
        <f t="shared" si="12"/>
        <v/>
      </c>
      <c r="B82" s="70" t="str">
        <f t="shared" si="9"/>
        <v/>
      </c>
      <c r="C82" s="71" t="str">
        <f t="shared" si="10"/>
        <v/>
      </c>
      <c r="D82" s="71" t="str">
        <f t="shared" si="11"/>
        <v/>
      </c>
      <c r="E82" s="71" t="str">
        <f t="shared" si="13"/>
        <v/>
      </c>
      <c r="F82" s="71" t="str">
        <f t="shared" si="14"/>
        <v/>
      </c>
      <c r="G82" s="71" t="str">
        <f t="shared" si="15"/>
        <v/>
      </c>
      <c r="AF82" s="77" t="str">
        <f t="shared" si="16"/>
        <v/>
      </c>
      <c r="AG82" s="82" t="str">
        <f>IF(OR(AA82="",AA82="Grand Total"),"",VLOOKUP(AA82,'Team Details'!B:C,2,0))</f>
        <v/>
      </c>
      <c r="AH82" s="81" t="str">
        <f>IF(OR(AA82="",AA82="Grand Total"),"",(IF(OR('Setup Parameters'!$C$6 = "SW Agile",'Setup Parameters'!$I$6 = "SW Agile"),"Story Point","Complexity Point")))</f>
        <v/>
      </c>
      <c r="AI82" s="81" t="str">
        <f t="shared" si="17"/>
        <v/>
      </c>
    </row>
    <row r="83" spans="1:35" x14ac:dyDescent="0.25">
      <c r="A83" s="69" t="str">
        <f t="shared" si="12"/>
        <v/>
      </c>
      <c r="B83" s="70" t="str">
        <f t="shared" si="9"/>
        <v/>
      </c>
      <c r="C83" s="71" t="str">
        <f t="shared" si="10"/>
        <v/>
      </c>
      <c r="D83" s="71" t="str">
        <f t="shared" si="11"/>
        <v/>
      </c>
      <c r="E83" s="71" t="str">
        <f t="shared" si="13"/>
        <v/>
      </c>
      <c r="F83" s="71" t="str">
        <f t="shared" si="14"/>
        <v/>
      </c>
      <c r="G83" s="71" t="str">
        <f t="shared" si="15"/>
        <v/>
      </c>
      <c r="AF83" s="77" t="str">
        <f t="shared" si="16"/>
        <v/>
      </c>
      <c r="AG83" s="82" t="str">
        <f>IF(OR(AA83="",AA83="Grand Total"),"",VLOOKUP(AA83,'Team Details'!B:C,2,0))</f>
        <v/>
      </c>
      <c r="AH83" s="81" t="str">
        <f>IF(OR(AA83="",AA83="Grand Total"),"",(IF(OR('Setup Parameters'!$C$6 = "SW Agile",'Setup Parameters'!$I$6 = "SW Agile"),"Story Point","Complexity Point")))</f>
        <v/>
      </c>
      <c r="AI83" s="81" t="str">
        <f t="shared" si="17"/>
        <v/>
      </c>
    </row>
    <row r="84" spans="1:35" x14ac:dyDescent="0.25">
      <c r="A84" s="69" t="str">
        <f t="shared" si="12"/>
        <v/>
      </c>
      <c r="B84" s="70" t="str">
        <f t="shared" si="9"/>
        <v/>
      </c>
      <c r="C84" s="71" t="str">
        <f t="shared" si="10"/>
        <v/>
      </c>
      <c r="D84" s="71" t="str">
        <f t="shared" si="11"/>
        <v/>
      </c>
      <c r="E84" s="71" t="str">
        <f t="shared" si="13"/>
        <v/>
      </c>
      <c r="F84" s="71" t="str">
        <f t="shared" si="14"/>
        <v/>
      </c>
      <c r="G84" s="71" t="str">
        <f t="shared" si="15"/>
        <v/>
      </c>
      <c r="AF84" s="77" t="str">
        <f t="shared" si="16"/>
        <v/>
      </c>
      <c r="AG84" s="82" t="str">
        <f>IF(OR(AA84="",AA84="Grand Total"),"",VLOOKUP(AA84,'Team Details'!B:C,2,0))</f>
        <v/>
      </c>
      <c r="AH84" s="81" t="str">
        <f>IF(OR(AA84="",AA84="Grand Total"),"",(IF(OR('Setup Parameters'!$C$6 = "SW Agile",'Setup Parameters'!$I$6 = "SW Agile"),"Story Point","Complexity Point")))</f>
        <v/>
      </c>
      <c r="AI84" s="81" t="str">
        <f t="shared" si="17"/>
        <v/>
      </c>
    </row>
    <row r="85" spans="1:35" x14ac:dyDescent="0.25">
      <c r="A85" s="69" t="str">
        <f t="shared" si="12"/>
        <v/>
      </c>
      <c r="B85" s="70" t="str">
        <f t="shared" si="9"/>
        <v/>
      </c>
      <c r="C85" s="71" t="str">
        <f t="shared" si="10"/>
        <v/>
      </c>
      <c r="D85" s="71" t="str">
        <f t="shared" si="11"/>
        <v/>
      </c>
      <c r="E85" s="71" t="str">
        <f t="shared" si="13"/>
        <v/>
      </c>
      <c r="F85" s="71" t="str">
        <f t="shared" si="14"/>
        <v/>
      </c>
      <c r="G85" s="71" t="str">
        <f t="shared" si="15"/>
        <v/>
      </c>
      <c r="AF85" s="77" t="str">
        <f t="shared" si="16"/>
        <v/>
      </c>
      <c r="AG85" s="82" t="str">
        <f>IF(OR(AA85="",AA85="Grand Total"),"",VLOOKUP(AA85,'Team Details'!B:C,2,0))</f>
        <v/>
      </c>
      <c r="AH85" s="81" t="str">
        <f>IF(OR(AA85="",AA85="Grand Total"),"",(IF(OR('Setup Parameters'!$C$6 = "SW Agile",'Setup Parameters'!$I$6 = "SW Agile"),"Story Point","Complexity Point")))</f>
        <v/>
      </c>
      <c r="AI85" s="81" t="str">
        <f t="shared" si="17"/>
        <v/>
      </c>
    </row>
    <row r="86" spans="1:35" x14ac:dyDescent="0.25">
      <c r="A86" s="69" t="str">
        <f t="shared" si="12"/>
        <v/>
      </c>
      <c r="B86" s="70" t="str">
        <f t="shared" si="9"/>
        <v/>
      </c>
      <c r="C86" s="71" t="str">
        <f t="shared" si="10"/>
        <v/>
      </c>
      <c r="D86" s="71" t="str">
        <f t="shared" si="11"/>
        <v/>
      </c>
      <c r="E86" s="71" t="str">
        <f t="shared" si="13"/>
        <v/>
      </c>
      <c r="F86" s="71" t="str">
        <f t="shared" si="14"/>
        <v/>
      </c>
      <c r="G86" s="71" t="str">
        <f t="shared" si="15"/>
        <v/>
      </c>
      <c r="AF86" s="77" t="str">
        <f t="shared" si="16"/>
        <v/>
      </c>
      <c r="AG86" s="82" t="str">
        <f>IF(OR(AA86="",AA86="Grand Total"),"",VLOOKUP(AA86,'Team Details'!B:C,2,0))</f>
        <v/>
      </c>
      <c r="AH86" s="81" t="str">
        <f>IF(OR(AA86="",AA86="Grand Total"),"",(IF(OR('Setup Parameters'!$C$6 = "SW Agile",'Setup Parameters'!$I$6 = "SW Agile"),"Story Point","Complexity Point")))</f>
        <v/>
      </c>
      <c r="AI86" s="81" t="str">
        <f t="shared" si="17"/>
        <v/>
      </c>
    </row>
    <row r="87" spans="1:35" x14ac:dyDescent="0.25">
      <c r="A87" s="69" t="str">
        <f t="shared" si="12"/>
        <v/>
      </c>
      <c r="B87" s="70" t="str">
        <f t="shared" si="9"/>
        <v/>
      </c>
      <c r="C87" s="71" t="str">
        <f t="shared" si="10"/>
        <v/>
      </c>
      <c r="D87" s="71" t="str">
        <f t="shared" si="11"/>
        <v/>
      </c>
      <c r="E87" s="71" t="str">
        <f t="shared" si="13"/>
        <v/>
      </c>
      <c r="F87" s="71" t="str">
        <f t="shared" si="14"/>
        <v/>
      </c>
      <c r="G87" s="71" t="str">
        <f t="shared" si="15"/>
        <v/>
      </c>
      <c r="AF87" s="77" t="str">
        <f t="shared" si="16"/>
        <v/>
      </c>
      <c r="AG87" s="82" t="str">
        <f>IF(OR(AA87="",AA87="Grand Total"),"",VLOOKUP(AA87,'Team Details'!B:C,2,0))</f>
        <v/>
      </c>
      <c r="AH87" s="81" t="str">
        <f>IF(OR(AA87="",AA87="Grand Total"),"",(IF(OR('Setup Parameters'!$C$6 = "SW Agile",'Setup Parameters'!$I$6 = "SW Agile"),"Story Point","Complexity Point")))</f>
        <v/>
      </c>
      <c r="AI87" s="81" t="str">
        <f t="shared" si="17"/>
        <v/>
      </c>
    </row>
    <row r="88" spans="1:35" x14ac:dyDescent="0.25">
      <c r="A88" s="69" t="str">
        <f t="shared" si="12"/>
        <v/>
      </c>
      <c r="B88" s="70" t="str">
        <f t="shared" si="9"/>
        <v/>
      </c>
      <c r="C88" s="71" t="str">
        <f t="shared" si="10"/>
        <v/>
      </c>
      <c r="D88" s="71" t="str">
        <f t="shared" si="11"/>
        <v/>
      </c>
      <c r="E88" s="71" t="str">
        <f t="shared" si="13"/>
        <v/>
      </c>
      <c r="F88" s="71" t="str">
        <f t="shared" si="14"/>
        <v/>
      </c>
      <c r="G88" s="71" t="str">
        <f t="shared" si="15"/>
        <v/>
      </c>
      <c r="AF88" s="77" t="str">
        <f t="shared" si="16"/>
        <v/>
      </c>
      <c r="AG88" s="82" t="str">
        <f>IF(OR(AA88="",AA88="Grand Total"),"",VLOOKUP(AA88,'Team Details'!B:C,2,0))</f>
        <v/>
      </c>
      <c r="AH88" s="81" t="str">
        <f>IF(OR(AA88="",AA88="Grand Total"),"",(IF(OR('Setup Parameters'!$C$6 = "SW Agile",'Setup Parameters'!$I$6 = "SW Agile"),"Story Point","Complexity Point")))</f>
        <v/>
      </c>
      <c r="AI88" s="81" t="str">
        <f t="shared" si="17"/>
        <v/>
      </c>
    </row>
    <row r="89" spans="1:35" x14ac:dyDescent="0.25">
      <c r="A89" s="69" t="str">
        <f t="shared" si="12"/>
        <v/>
      </c>
      <c r="B89" s="70" t="str">
        <f t="shared" si="9"/>
        <v/>
      </c>
      <c r="C89" s="71" t="str">
        <f t="shared" si="10"/>
        <v/>
      </c>
      <c r="D89" s="71" t="str">
        <f t="shared" si="11"/>
        <v/>
      </c>
      <c r="E89" s="71" t="str">
        <f t="shared" si="13"/>
        <v/>
      </c>
      <c r="F89" s="71" t="str">
        <f t="shared" si="14"/>
        <v/>
      </c>
      <c r="G89" s="71" t="str">
        <f t="shared" si="15"/>
        <v/>
      </c>
      <c r="AF89" s="77" t="str">
        <f t="shared" si="16"/>
        <v/>
      </c>
      <c r="AG89" s="82" t="str">
        <f>IF(OR(AA89="",AA89="Grand Total"),"",VLOOKUP(AA89,'Team Details'!B:C,2,0))</f>
        <v/>
      </c>
      <c r="AH89" s="81" t="str">
        <f>IF(OR(AA89="",AA89="Grand Total"),"",(IF(OR('Setup Parameters'!$C$6 = "SW Agile",'Setup Parameters'!$I$6 = "SW Agile"),"Story Point","Complexity Point")))</f>
        <v/>
      </c>
      <c r="AI89" s="81" t="str">
        <f t="shared" si="17"/>
        <v/>
      </c>
    </row>
    <row r="90" spans="1:35" x14ac:dyDescent="0.25">
      <c r="A90" s="69" t="str">
        <f t="shared" si="12"/>
        <v/>
      </c>
      <c r="B90" s="70" t="str">
        <f t="shared" si="9"/>
        <v/>
      </c>
      <c r="C90" s="71" t="str">
        <f t="shared" si="10"/>
        <v/>
      </c>
      <c r="D90" s="71" t="str">
        <f t="shared" si="11"/>
        <v/>
      </c>
      <c r="E90" s="71" t="str">
        <f t="shared" si="13"/>
        <v/>
      </c>
      <c r="F90" s="71" t="str">
        <f t="shared" si="14"/>
        <v/>
      </c>
      <c r="G90" s="71" t="str">
        <f t="shared" si="15"/>
        <v/>
      </c>
      <c r="AF90" s="77" t="str">
        <f t="shared" si="16"/>
        <v/>
      </c>
      <c r="AG90" s="82" t="str">
        <f>IF(OR(AA90="",AA90="Grand Total"),"",VLOOKUP(AA90,'Team Details'!B:C,2,0))</f>
        <v/>
      </c>
      <c r="AH90" s="81" t="str">
        <f>IF(OR(AA90="",AA90="Grand Total"),"",(IF(OR('Setup Parameters'!$C$6 = "SW Agile",'Setup Parameters'!$I$6 = "SW Agile"),"Story Point","Complexity Point")))</f>
        <v/>
      </c>
      <c r="AI90" s="81" t="str">
        <f t="shared" si="17"/>
        <v/>
      </c>
    </row>
    <row r="91" spans="1:35" x14ac:dyDescent="0.25">
      <c r="A91" s="69" t="str">
        <f t="shared" si="12"/>
        <v/>
      </c>
      <c r="B91" s="70" t="str">
        <f t="shared" si="9"/>
        <v/>
      </c>
      <c r="C91" s="71" t="str">
        <f t="shared" si="10"/>
        <v/>
      </c>
      <c r="D91" s="71" t="str">
        <f t="shared" si="11"/>
        <v/>
      </c>
      <c r="E91" s="71" t="str">
        <f t="shared" si="13"/>
        <v/>
      </c>
      <c r="F91" s="71" t="str">
        <f t="shared" si="14"/>
        <v/>
      </c>
      <c r="G91" s="71" t="str">
        <f t="shared" si="15"/>
        <v/>
      </c>
      <c r="AF91" s="77" t="str">
        <f t="shared" si="16"/>
        <v/>
      </c>
      <c r="AG91" s="82" t="str">
        <f>IF(OR(AA91="",AA91="Grand Total"),"",VLOOKUP(AA91,'Team Details'!B:C,2,0))</f>
        <v/>
      </c>
      <c r="AH91" s="81" t="str">
        <f>IF(OR(AA91="",AA91="Grand Total"),"",(IF(OR('Setup Parameters'!$C$6 = "SW Agile",'Setup Parameters'!$I$6 = "SW Agile"),"Story Point","Complexity Point")))</f>
        <v/>
      </c>
      <c r="AI91" s="81" t="str">
        <f t="shared" si="17"/>
        <v/>
      </c>
    </row>
    <row r="92" spans="1:35" x14ac:dyDescent="0.25">
      <c r="A92" s="69" t="str">
        <f t="shared" si="12"/>
        <v/>
      </c>
      <c r="B92" s="70" t="str">
        <f t="shared" si="9"/>
        <v/>
      </c>
      <c r="C92" s="71" t="str">
        <f t="shared" si="10"/>
        <v/>
      </c>
      <c r="D92" s="71" t="str">
        <f t="shared" si="11"/>
        <v/>
      </c>
      <c r="E92" s="71" t="str">
        <f t="shared" si="13"/>
        <v/>
      </c>
      <c r="F92" s="71" t="str">
        <f t="shared" si="14"/>
        <v/>
      </c>
      <c r="G92" s="71" t="str">
        <f t="shared" si="15"/>
        <v/>
      </c>
      <c r="AF92" s="77" t="str">
        <f t="shared" si="16"/>
        <v/>
      </c>
      <c r="AG92" s="82" t="str">
        <f>IF(OR(AA92="",AA92="Grand Total"),"",VLOOKUP(AA92,'Team Details'!B:C,2,0))</f>
        <v/>
      </c>
      <c r="AH92" s="81" t="str">
        <f>IF(OR(AA92="",AA92="Grand Total"),"",(IF(OR('Setup Parameters'!$C$6 = "SW Agile",'Setup Parameters'!$I$6 = "SW Agile"),"Story Point","Complexity Point")))</f>
        <v/>
      </c>
      <c r="AI92" s="81" t="str">
        <f t="shared" si="17"/>
        <v/>
      </c>
    </row>
    <row r="93" spans="1:35" x14ac:dyDescent="0.25">
      <c r="A93" s="69" t="str">
        <f t="shared" si="12"/>
        <v/>
      </c>
      <c r="B93" s="70" t="str">
        <f t="shared" si="9"/>
        <v/>
      </c>
      <c r="C93" s="71" t="str">
        <f t="shared" si="10"/>
        <v/>
      </c>
      <c r="D93" s="71" t="str">
        <f t="shared" si="11"/>
        <v/>
      </c>
      <c r="E93" s="71" t="str">
        <f t="shared" si="13"/>
        <v/>
      </c>
      <c r="F93" s="71" t="str">
        <f t="shared" si="14"/>
        <v/>
      </c>
      <c r="G93" s="71" t="str">
        <f t="shared" si="15"/>
        <v/>
      </c>
      <c r="AF93" s="77" t="str">
        <f t="shared" si="16"/>
        <v/>
      </c>
      <c r="AG93" s="82" t="str">
        <f>IF(OR(AA93="",AA93="Grand Total"),"",VLOOKUP(AA93,'Team Details'!B:C,2,0))</f>
        <v/>
      </c>
      <c r="AH93" s="81" t="str">
        <f>IF(OR(AA93="",AA93="Grand Total"),"",(IF(OR('Setup Parameters'!$C$6 = "SW Agile",'Setup Parameters'!$I$6 = "SW Agile"),"Story Point","Complexity Point")))</f>
        <v/>
      </c>
      <c r="AI93" s="81" t="str">
        <f t="shared" si="17"/>
        <v/>
      </c>
    </row>
    <row r="94" spans="1:35" x14ac:dyDescent="0.25">
      <c r="A94" s="69" t="str">
        <f t="shared" si="12"/>
        <v/>
      </c>
      <c r="B94" s="70" t="str">
        <f t="shared" si="9"/>
        <v/>
      </c>
      <c r="C94" s="71" t="str">
        <f t="shared" si="10"/>
        <v/>
      </c>
      <c r="D94" s="71" t="str">
        <f t="shared" si="11"/>
        <v/>
      </c>
      <c r="E94" s="71" t="str">
        <f t="shared" si="13"/>
        <v/>
      </c>
      <c r="F94" s="71" t="str">
        <f t="shared" si="14"/>
        <v/>
      </c>
      <c r="G94" s="71" t="str">
        <f t="shared" si="15"/>
        <v/>
      </c>
      <c r="AF94" s="77" t="str">
        <f t="shared" si="16"/>
        <v/>
      </c>
      <c r="AG94" s="82" t="str">
        <f>IF(OR(AA94="",AA94="Grand Total"),"",VLOOKUP(AA94,'Team Details'!B:C,2,0))</f>
        <v/>
      </c>
      <c r="AH94" s="81" t="str">
        <f>IF(OR(AA94="",AA94="Grand Total"),"",(IF(OR('Setup Parameters'!$C$6 = "SW Agile",'Setup Parameters'!$I$6 = "SW Agile"),"Story Point","Complexity Point")))</f>
        <v/>
      </c>
      <c r="AI94" s="81" t="str">
        <f t="shared" si="17"/>
        <v/>
      </c>
    </row>
    <row r="95" spans="1:35" x14ac:dyDescent="0.25">
      <c r="A95" s="69" t="str">
        <f t="shared" si="12"/>
        <v/>
      </c>
      <c r="B95" s="70" t="str">
        <f t="shared" si="9"/>
        <v/>
      </c>
      <c r="C95" s="71" t="str">
        <f t="shared" si="10"/>
        <v/>
      </c>
      <c r="D95" s="71" t="str">
        <f t="shared" si="11"/>
        <v/>
      </c>
      <c r="E95" s="71" t="str">
        <f t="shared" si="13"/>
        <v/>
      </c>
      <c r="F95" s="71" t="str">
        <f t="shared" si="14"/>
        <v/>
      </c>
      <c r="G95" s="71" t="str">
        <f t="shared" si="15"/>
        <v/>
      </c>
      <c r="AF95" s="77" t="str">
        <f t="shared" si="16"/>
        <v/>
      </c>
      <c r="AG95" s="82" t="str">
        <f>IF(OR(AA95="",AA95="Grand Total"),"",VLOOKUP(AA95,'Team Details'!B:C,2,0))</f>
        <v/>
      </c>
      <c r="AH95" s="81" t="str">
        <f>IF(OR(AA95="",AA95="Grand Total"),"",(IF(OR('Setup Parameters'!$C$6 = "SW Agile",'Setup Parameters'!$I$6 = "SW Agile"),"Story Point","Complexity Point")))</f>
        <v/>
      </c>
      <c r="AI95" s="81" t="str">
        <f t="shared" si="17"/>
        <v/>
      </c>
    </row>
    <row r="96" spans="1:35" x14ac:dyDescent="0.25">
      <c r="A96" s="69" t="str">
        <f t="shared" si="12"/>
        <v/>
      </c>
      <c r="B96" s="70" t="str">
        <f t="shared" si="9"/>
        <v/>
      </c>
      <c r="C96" s="71" t="str">
        <f t="shared" si="10"/>
        <v/>
      </c>
      <c r="D96" s="71" t="str">
        <f t="shared" si="11"/>
        <v/>
      </c>
      <c r="E96" s="71" t="str">
        <f t="shared" si="13"/>
        <v/>
      </c>
      <c r="F96" s="71" t="str">
        <f t="shared" si="14"/>
        <v/>
      </c>
      <c r="G96" s="71" t="str">
        <f t="shared" si="15"/>
        <v/>
      </c>
      <c r="AF96" s="77" t="str">
        <f t="shared" si="16"/>
        <v/>
      </c>
      <c r="AG96" s="82" t="str">
        <f>IF(OR(AA96="",AA96="Grand Total"),"",VLOOKUP(AA96,'Team Details'!B:C,2,0))</f>
        <v/>
      </c>
      <c r="AH96" s="81" t="str">
        <f>IF(OR(AA96="",AA96="Grand Total"),"",(IF(OR('Setup Parameters'!$C$6 = "SW Agile",'Setup Parameters'!$I$6 = "SW Agile"),"Story Point","Complexity Point")))</f>
        <v/>
      </c>
      <c r="AI96" s="81" t="str">
        <f t="shared" si="17"/>
        <v/>
      </c>
    </row>
    <row r="97" spans="1:35" x14ac:dyDescent="0.25">
      <c r="A97" s="69" t="str">
        <f t="shared" si="12"/>
        <v/>
      </c>
      <c r="B97" s="70" t="str">
        <f t="shared" si="9"/>
        <v/>
      </c>
      <c r="C97" s="71" t="str">
        <f t="shared" si="10"/>
        <v/>
      </c>
      <c r="D97" s="71" t="str">
        <f t="shared" si="11"/>
        <v/>
      </c>
      <c r="E97" s="71" t="str">
        <f t="shared" si="13"/>
        <v/>
      </c>
      <c r="F97" s="71" t="str">
        <f t="shared" si="14"/>
        <v/>
      </c>
      <c r="G97" s="71" t="str">
        <f t="shared" si="15"/>
        <v/>
      </c>
      <c r="AF97" s="77" t="str">
        <f t="shared" si="16"/>
        <v/>
      </c>
      <c r="AG97" s="82" t="str">
        <f>IF(OR(AA97="",AA97="Grand Total"),"",VLOOKUP(AA97,'Team Details'!B:C,2,0))</f>
        <v/>
      </c>
      <c r="AH97" s="81" t="str">
        <f>IF(OR(AA97="",AA97="Grand Total"),"",(IF(OR('Setup Parameters'!$C$6 = "SW Agile",'Setup Parameters'!$I$6 = "SW Agile"),"Story Point","Complexity Point")))</f>
        <v/>
      </c>
      <c r="AI97" s="81" t="str">
        <f t="shared" si="17"/>
        <v/>
      </c>
    </row>
    <row r="98" spans="1:35" x14ac:dyDescent="0.25">
      <c r="A98" s="69" t="str">
        <f t="shared" si="12"/>
        <v/>
      </c>
      <c r="B98" s="70" t="str">
        <f t="shared" si="9"/>
        <v/>
      </c>
      <c r="C98" s="71" t="str">
        <f t="shared" si="10"/>
        <v/>
      </c>
      <c r="D98" s="71" t="str">
        <f t="shared" si="11"/>
        <v/>
      </c>
      <c r="E98" s="71" t="str">
        <f t="shared" si="13"/>
        <v/>
      </c>
      <c r="F98" s="71" t="str">
        <f t="shared" si="14"/>
        <v/>
      </c>
      <c r="G98" s="71" t="str">
        <f t="shared" si="15"/>
        <v/>
      </c>
      <c r="AF98" s="77" t="str">
        <f t="shared" si="16"/>
        <v/>
      </c>
      <c r="AG98" s="82" t="str">
        <f>IF(OR(AA98="",AA98="Grand Total"),"",VLOOKUP(AA98,'Team Details'!B:C,2,0))</f>
        <v/>
      </c>
      <c r="AH98" s="81" t="str">
        <f>IF(OR(AA98="",AA98="Grand Total"),"",(IF(OR('Setup Parameters'!$C$6 = "SW Agile",'Setup Parameters'!$I$6 = "SW Agile"),"Story Point","Complexity Point")))</f>
        <v/>
      </c>
      <c r="AI98" s="81" t="str">
        <f t="shared" si="17"/>
        <v/>
      </c>
    </row>
    <row r="99" spans="1:35" x14ac:dyDescent="0.25">
      <c r="A99" s="69" t="str">
        <f t="shared" si="12"/>
        <v/>
      </c>
      <c r="B99" s="70" t="str">
        <f t="shared" si="9"/>
        <v/>
      </c>
      <c r="C99" s="71" t="str">
        <f t="shared" si="10"/>
        <v/>
      </c>
      <c r="D99" s="71" t="str">
        <f t="shared" si="11"/>
        <v/>
      </c>
      <c r="E99" s="71" t="str">
        <f t="shared" si="13"/>
        <v/>
      </c>
      <c r="F99" s="71" t="str">
        <f t="shared" si="14"/>
        <v/>
      </c>
      <c r="G99" s="71" t="str">
        <f t="shared" si="15"/>
        <v/>
      </c>
      <c r="AF99" s="77" t="str">
        <f t="shared" si="16"/>
        <v/>
      </c>
      <c r="AG99" s="82" t="str">
        <f>IF(OR(AA99="",AA99="Grand Total"),"",VLOOKUP(AA99,'Team Details'!B:C,2,0))</f>
        <v/>
      </c>
      <c r="AH99" s="81" t="str">
        <f>IF(OR(AA99="",AA99="Grand Total"),"",(IF(OR('Setup Parameters'!$C$6 = "SW Agile",'Setup Parameters'!$I$6 = "SW Agile"),"Story Point","Complexity Point")))</f>
        <v/>
      </c>
      <c r="AI99" s="81" t="str">
        <f t="shared" si="17"/>
        <v/>
      </c>
    </row>
    <row r="100" spans="1:35" x14ac:dyDescent="0.25">
      <c r="A100" s="69" t="str">
        <f t="shared" si="12"/>
        <v/>
      </c>
      <c r="B100" s="70" t="str">
        <f t="shared" si="9"/>
        <v/>
      </c>
      <c r="C100" s="71" t="str">
        <f t="shared" si="10"/>
        <v/>
      </c>
      <c r="D100" s="71" t="str">
        <f t="shared" si="11"/>
        <v/>
      </c>
      <c r="E100" s="71" t="str">
        <f t="shared" si="13"/>
        <v/>
      </c>
      <c r="F100" s="71" t="str">
        <f t="shared" si="14"/>
        <v/>
      </c>
      <c r="G100" s="71" t="str">
        <f t="shared" si="15"/>
        <v/>
      </c>
      <c r="AF100" s="77" t="str">
        <f t="shared" si="16"/>
        <v/>
      </c>
      <c r="AG100" s="82" t="str">
        <f>IF(OR(AA100="",AA100="Grand Total"),"",VLOOKUP(AA100,'Team Details'!B:C,2,0))</f>
        <v/>
      </c>
      <c r="AH100" s="81" t="str">
        <f>IF(OR(AA100="",AA100="Grand Total"),"",(IF(OR('Setup Parameters'!$C$6 = "SW Agile",'Setup Parameters'!$I$6 = "SW Agile"),"Story Point","Complexity Point")))</f>
        <v/>
      </c>
      <c r="AI100" s="81" t="str">
        <f t="shared" si="17"/>
        <v/>
      </c>
    </row>
    <row r="101" spans="1:35" x14ac:dyDescent="0.25">
      <c r="A101" s="69" t="str">
        <f t="shared" si="12"/>
        <v/>
      </c>
      <c r="B101" s="70" t="str">
        <f t="shared" si="9"/>
        <v/>
      </c>
      <c r="C101" s="71" t="str">
        <f t="shared" si="10"/>
        <v/>
      </c>
      <c r="D101" s="71" t="str">
        <f t="shared" si="11"/>
        <v/>
      </c>
      <c r="E101" s="71" t="str">
        <f t="shared" si="13"/>
        <v/>
      </c>
      <c r="F101" s="71" t="str">
        <f t="shared" si="14"/>
        <v/>
      </c>
      <c r="G101" s="71" t="str">
        <f t="shared" si="15"/>
        <v/>
      </c>
      <c r="AF101" s="77" t="str">
        <f t="shared" si="16"/>
        <v/>
      </c>
      <c r="AG101" s="82" t="str">
        <f>IF(OR(AA101="",AA101="Grand Total"),"",VLOOKUP(AA101,'Team Details'!B:C,2,0))</f>
        <v/>
      </c>
      <c r="AH101" s="81" t="str">
        <f>IF(OR(AA101="",AA101="Grand Total"),"",(IF(OR('Setup Parameters'!$C$6 = "SW Agile",'Setup Parameters'!$I$6 = "SW Agile"),"Story Point","Complexity Point")))</f>
        <v/>
      </c>
      <c r="AI101" s="81" t="str">
        <f t="shared" si="17"/>
        <v/>
      </c>
    </row>
    <row r="102" spans="1:35" x14ac:dyDescent="0.25">
      <c r="A102" s="69" t="str">
        <f t="shared" si="12"/>
        <v/>
      </c>
      <c r="B102" s="70" t="str">
        <f t="shared" si="9"/>
        <v/>
      </c>
      <c r="C102" s="71" t="str">
        <f t="shared" si="10"/>
        <v/>
      </c>
      <c r="D102" s="71" t="str">
        <f t="shared" si="11"/>
        <v/>
      </c>
      <c r="E102" s="71" t="str">
        <f t="shared" si="13"/>
        <v/>
      </c>
      <c r="F102" s="71" t="str">
        <f t="shared" si="14"/>
        <v/>
      </c>
      <c r="G102" s="71" t="str">
        <f t="shared" si="15"/>
        <v/>
      </c>
      <c r="AF102" s="77" t="str">
        <f t="shared" si="16"/>
        <v/>
      </c>
      <c r="AG102" s="82" t="str">
        <f>IF(OR(AA102="",AA102="Grand Total"),"",VLOOKUP(AA102,'Team Details'!B:C,2,0))</f>
        <v/>
      </c>
      <c r="AH102" s="81" t="str">
        <f>IF(OR(AA102="",AA102="Grand Total"),"",(IF(OR('Setup Parameters'!$C$6 = "SW Agile",'Setup Parameters'!$I$6 = "SW Agile"),"Story Point","Complexity Point")))</f>
        <v/>
      </c>
      <c r="AI102" s="81" t="str">
        <f t="shared" si="17"/>
        <v/>
      </c>
    </row>
    <row r="103" spans="1:35" x14ac:dyDescent="0.25">
      <c r="A103" s="69" t="str">
        <f t="shared" si="12"/>
        <v/>
      </c>
      <c r="B103" s="70" t="str">
        <f t="shared" si="9"/>
        <v/>
      </c>
      <c r="C103" s="71" t="str">
        <f t="shared" si="10"/>
        <v/>
      </c>
      <c r="D103" s="71" t="str">
        <f t="shared" si="11"/>
        <v/>
      </c>
      <c r="E103" s="71" t="str">
        <f t="shared" si="13"/>
        <v/>
      </c>
      <c r="F103" s="71" t="str">
        <f t="shared" si="14"/>
        <v/>
      </c>
      <c r="G103" s="71" t="str">
        <f t="shared" si="15"/>
        <v/>
      </c>
      <c r="AF103" s="77" t="str">
        <f t="shared" si="16"/>
        <v/>
      </c>
      <c r="AG103" s="82" t="str">
        <f>IF(OR(AA103="",AA103="Grand Total"),"",VLOOKUP(AA103,'Team Details'!B:C,2,0))</f>
        <v/>
      </c>
      <c r="AH103" s="81" t="str">
        <f>IF(OR(AA103="",AA103="Grand Total"),"",(IF(OR('Setup Parameters'!$C$6 = "SW Agile",'Setup Parameters'!$I$6 = "SW Agile"),"Story Point","Complexity Point")))</f>
        <v/>
      </c>
      <c r="AI103" s="81" t="str">
        <f t="shared" si="17"/>
        <v/>
      </c>
    </row>
    <row r="104" spans="1:35" x14ac:dyDescent="0.25">
      <c r="A104" s="69" t="str">
        <f t="shared" si="12"/>
        <v/>
      </c>
      <c r="B104" s="70" t="str">
        <f t="shared" si="9"/>
        <v/>
      </c>
      <c r="C104" s="71" t="str">
        <f t="shared" si="10"/>
        <v/>
      </c>
      <c r="D104" s="71" t="str">
        <f t="shared" si="11"/>
        <v/>
      </c>
      <c r="E104" s="71" t="str">
        <f t="shared" si="13"/>
        <v/>
      </c>
      <c r="F104" s="71" t="str">
        <f t="shared" si="14"/>
        <v/>
      </c>
      <c r="G104" s="71" t="str">
        <f t="shared" si="15"/>
        <v/>
      </c>
      <c r="AF104" s="77" t="str">
        <f t="shared" si="16"/>
        <v/>
      </c>
      <c r="AG104" s="82" t="str">
        <f>IF(OR(AA104="",AA104="Grand Total"),"",VLOOKUP(AA104,'Team Details'!B:C,2,0))</f>
        <v/>
      </c>
      <c r="AH104" s="81" t="str">
        <f>IF(OR(AA104="",AA104="Grand Total"),"",(IF(OR('Setup Parameters'!$C$6 = "SW Agile",'Setup Parameters'!$I$6 = "SW Agile"),"Story Point","Complexity Point")))</f>
        <v/>
      </c>
      <c r="AI104" s="81" t="str">
        <f t="shared" si="17"/>
        <v/>
      </c>
    </row>
    <row r="105" spans="1:35" x14ac:dyDescent="0.25">
      <c r="A105" s="69" t="str">
        <f t="shared" si="12"/>
        <v/>
      </c>
      <c r="B105" s="70" t="str">
        <f t="shared" si="9"/>
        <v/>
      </c>
      <c r="C105" s="71" t="str">
        <f t="shared" si="10"/>
        <v/>
      </c>
      <c r="D105" s="71" t="str">
        <f t="shared" si="11"/>
        <v/>
      </c>
      <c r="E105" s="71" t="str">
        <f t="shared" si="13"/>
        <v/>
      </c>
      <c r="F105" s="71" t="str">
        <f t="shared" si="14"/>
        <v/>
      </c>
      <c r="G105" s="71" t="str">
        <f t="shared" si="15"/>
        <v/>
      </c>
      <c r="AF105" s="77" t="str">
        <f t="shared" si="16"/>
        <v/>
      </c>
      <c r="AG105" s="82" t="str">
        <f>IF(OR(AA105="",AA105="Grand Total"),"",VLOOKUP(AA105,'Team Details'!B:C,2,0))</f>
        <v/>
      </c>
      <c r="AH105" s="81" t="str">
        <f>IF(OR(AA105="",AA105="Grand Total"),"",(IF(OR('Setup Parameters'!$C$6 = "SW Agile",'Setup Parameters'!$I$6 = "SW Agile"),"Story Point","Complexity Point")))</f>
        <v/>
      </c>
      <c r="AI105" s="81" t="str">
        <f t="shared" si="17"/>
        <v/>
      </c>
    </row>
    <row r="106" spans="1:35" x14ac:dyDescent="0.25">
      <c r="A106" s="69" t="str">
        <f t="shared" si="12"/>
        <v/>
      </c>
      <c r="B106" s="70" t="str">
        <f t="shared" si="9"/>
        <v/>
      </c>
      <c r="C106" s="71" t="str">
        <f t="shared" si="10"/>
        <v/>
      </c>
      <c r="D106" s="71" t="str">
        <f t="shared" si="11"/>
        <v/>
      </c>
      <c r="E106" s="71" t="str">
        <f t="shared" si="13"/>
        <v/>
      </c>
      <c r="F106" s="71" t="str">
        <f t="shared" si="14"/>
        <v/>
      </c>
      <c r="G106" s="71" t="str">
        <f t="shared" si="15"/>
        <v/>
      </c>
      <c r="AF106" s="77" t="str">
        <f t="shared" si="16"/>
        <v/>
      </c>
      <c r="AG106" s="82" t="str">
        <f>IF(OR(AA106="",AA106="Grand Total"),"",VLOOKUP(AA106,'Team Details'!B:C,2,0))</f>
        <v/>
      </c>
      <c r="AH106" s="81" t="str">
        <f>IF(OR(AA106="",AA106="Grand Total"),"",(IF(OR('Setup Parameters'!$C$6 = "SW Agile",'Setup Parameters'!$I$6 = "SW Agile"),"Story Point","Complexity Point")))</f>
        <v/>
      </c>
      <c r="AI106" s="81" t="str">
        <f t="shared" si="17"/>
        <v/>
      </c>
    </row>
    <row r="107" spans="1:35" x14ac:dyDescent="0.25">
      <c r="A107" s="69" t="str">
        <f t="shared" si="12"/>
        <v/>
      </c>
      <c r="B107" s="70" t="str">
        <f t="shared" si="9"/>
        <v/>
      </c>
      <c r="C107" s="71" t="str">
        <f t="shared" si="10"/>
        <v/>
      </c>
      <c r="D107" s="71" t="str">
        <f t="shared" si="11"/>
        <v/>
      </c>
      <c r="E107" s="71" t="str">
        <f t="shared" si="13"/>
        <v/>
      </c>
      <c r="F107" s="71" t="str">
        <f t="shared" si="14"/>
        <v/>
      </c>
      <c r="G107" s="71" t="str">
        <f t="shared" si="15"/>
        <v/>
      </c>
      <c r="AF107" s="77" t="str">
        <f t="shared" si="16"/>
        <v/>
      </c>
      <c r="AG107" s="82" t="str">
        <f>IF(OR(AA107="",AA107="Grand Total"),"",VLOOKUP(AA107,'Team Details'!B:C,2,0))</f>
        <v/>
      </c>
      <c r="AH107" s="81" t="str">
        <f>IF(OR(AA107="",AA107="Grand Total"),"",(IF(OR('Setup Parameters'!$C$6 = "SW Agile",'Setup Parameters'!$I$6 = "SW Agile"),"Story Point","Complexity Point")))</f>
        <v/>
      </c>
      <c r="AI107" s="81" t="str">
        <f t="shared" si="17"/>
        <v/>
      </c>
    </row>
    <row r="108" spans="1:35" x14ac:dyDescent="0.25">
      <c r="A108" s="69" t="str">
        <f t="shared" si="12"/>
        <v/>
      </c>
      <c r="B108" s="70" t="str">
        <f t="shared" si="9"/>
        <v/>
      </c>
      <c r="C108" s="71" t="str">
        <f t="shared" si="10"/>
        <v/>
      </c>
      <c r="D108" s="71" t="str">
        <f t="shared" si="11"/>
        <v/>
      </c>
      <c r="E108" s="71" t="str">
        <f t="shared" si="13"/>
        <v/>
      </c>
      <c r="F108" s="71" t="str">
        <f t="shared" si="14"/>
        <v/>
      </c>
      <c r="G108" s="71" t="str">
        <f t="shared" si="15"/>
        <v/>
      </c>
      <c r="AF108" s="77" t="str">
        <f t="shared" si="16"/>
        <v/>
      </c>
      <c r="AG108" s="82" t="str">
        <f>IF(OR(AA108="",AA108="Grand Total"),"",VLOOKUP(AA108,'Team Details'!B:C,2,0))</f>
        <v/>
      </c>
      <c r="AH108" s="81" t="str">
        <f>IF(OR(AA108="",AA108="Grand Total"),"",(IF(OR('Setup Parameters'!$C$6 = "SW Agile",'Setup Parameters'!$I$6 = "SW Agile"),"Story Point","Complexity Point")))</f>
        <v/>
      </c>
      <c r="AI108" s="81" t="str">
        <f t="shared" si="17"/>
        <v/>
      </c>
    </row>
    <row r="109" spans="1:35" x14ac:dyDescent="0.25">
      <c r="A109" s="69" t="str">
        <f t="shared" si="12"/>
        <v/>
      </c>
      <c r="B109" s="70" t="str">
        <f t="shared" si="9"/>
        <v/>
      </c>
      <c r="C109" s="71" t="str">
        <f t="shared" si="10"/>
        <v/>
      </c>
      <c r="D109" s="71" t="str">
        <f t="shared" si="11"/>
        <v/>
      </c>
      <c r="E109" s="71" t="str">
        <f t="shared" si="13"/>
        <v/>
      </c>
      <c r="F109" s="71" t="str">
        <f t="shared" si="14"/>
        <v/>
      </c>
      <c r="G109" s="71" t="str">
        <f t="shared" si="15"/>
        <v/>
      </c>
      <c r="AF109" s="77" t="str">
        <f t="shared" si="16"/>
        <v/>
      </c>
      <c r="AG109" s="82" t="str">
        <f>IF(OR(AA109="",AA109="Grand Total"),"",VLOOKUP(AA109,'Team Details'!B:C,2,0))</f>
        <v/>
      </c>
      <c r="AH109" s="81" t="str">
        <f>IF(OR(AA109="",AA109="Grand Total"),"",(IF(OR('Setup Parameters'!$C$6 = "SW Agile",'Setup Parameters'!$I$6 = "SW Agile"),"Story Point","Complexity Point")))</f>
        <v/>
      </c>
      <c r="AI109" s="81" t="str">
        <f t="shared" si="17"/>
        <v/>
      </c>
    </row>
    <row r="110" spans="1:35" x14ac:dyDescent="0.25">
      <c r="A110" s="69" t="str">
        <f t="shared" si="12"/>
        <v/>
      </c>
      <c r="B110" s="70" t="str">
        <f t="shared" si="9"/>
        <v/>
      </c>
      <c r="C110" s="71" t="str">
        <f t="shared" si="10"/>
        <v/>
      </c>
      <c r="D110" s="71" t="str">
        <f t="shared" si="11"/>
        <v/>
      </c>
      <c r="E110" s="71" t="str">
        <f t="shared" si="13"/>
        <v/>
      </c>
      <c r="F110" s="71" t="str">
        <f t="shared" si="14"/>
        <v/>
      </c>
      <c r="G110" s="71" t="str">
        <f t="shared" si="15"/>
        <v/>
      </c>
      <c r="AF110" s="77" t="str">
        <f t="shared" si="16"/>
        <v/>
      </c>
      <c r="AG110" s="82" t="str">
        <f>IF(OR(AA110="",AA110="Grand Total"),"",VLOOKUP(AA110,'Team Details'!B:C,2,0))</f>
        <v/>
      </c>
      <c r="AH110" s="81" t="str">
        <f>IF(OR(AA110="",AA110="Grand Total"),"",(IF(OR('Setup Parameters'!$C$6 = "SW Agile",'Setup Parameters'!$I$6 = "SW Agile"),"Story Point","Complexity Point")))</f>
        <v/>
      </c>
      <c r="AI110" s="81" t="str">
        <f t="shared" si="17"/>
        <v/>
      </c>
    </row>
    <row r="111" spans="1:35" x14ac:dyDescent="0.25">
      <c r="A111" s="69" t="str">
        <f t="shared" si="12"/>
        <v/>
      </c>
      <c r="B111" s="70" t="str">
        <f t="shared" si="9"/>
        <v/>
      </c>
      <c r="C111" s="71" t="str">
        <f t="shared" si="10"/>
        <v/>
      </c>
      <c r="D111" s="71" t="str">
        <f t="shared" si="11"/>
        <v/>
      </c>
      <c r="E111" s="71" t="str">
        <f t="shared" si="13"/>
        <v/>
      </c>
      <c r="F111" s="71" t="str">
        <f t="shared" si="14"/>
        <v/>
      </c>
      <c r="G111" s="71" t="str">
        <f t="shared" si="15"/>
        <v/>
      </c>
      <c r="AF111" s="77" t="str">
        <f t="shared" si="16"/>
        <v/>
      </c>
      <c r="AG111" s="82" t="str">
        <f>IF(OR(AA111="",AA111="Grand Total"),"",VLOOKUP(AA111,'Team Details'!B:C,2,0))</f>
        <v/>
      </c>
      <c r="AH111" s="81" t="str">
        <f>IF(OR(AA111="",AA111="Grand Total"),"",(IF(OR('Setup Parameters'!$C$6 = "SW Agile",'Setup Parameters'!$I$6 = "SW Agile"),"Story Point","Complexity Point")))</f>
        <v/>
      </c>
      <c r="AI111" s="81" t="str">
        <f t="shared" si="17"/>
        <v/>
      </c>
    </row>
    <row r="112" spans="1:35" x14ac:dyDescent="0.25">
      <c r="A112" s="69" t="str">
        <f t="shared" si="12"/>
        <v/>
      </c>
      <c r="B112" s="70" t="str">
        <f t="shared" si="9"/>
        <v/>
      </c>
      <c r="C112" s="71" t="str">
        <f t="shared" si="10"/>
        <v/>
      </c>
      <c r="D112" s="71" t="str">
        <f t="shared" si="11"/>
        <v/>
      </c>
      <c r="E112" s="71" t="str">
        <f t="shared" si="13"/>
        <v/>
      </c>
      <c r="F112" s="71" t="str">
        <f t="shared" si="14"/>
        <v/>
      </c>
      <c r="G112" s="71" t="str">
        <f t="shared" si="15"/>
        <v/>
      </c>
      <c r="AF112" s="77" t="str">
        <f t="shared" si="16"/>
        <v/>
      </c>
      <c r="AG112" s="82" t="str">
        <f>IF(OR(AA112="",AA112="Grand Total"),"",VLOOKUP(AA112,'Team Details'!B:C,2,0))</f>
        <v/>
      </c>
      <c r="AH112" s="81" t="str">
        <f>IF(OR(AA112="",AA112="Grand Total"),"",(IF(OR('Setup Parameters'!$C$6 = "SW Agile",'Setup Parameters'!$I$6 = "SW Agile"),"Story Point","Complexity Point")))</f>
        <v/>
      </c>
      <c r="AI112" s="81" t="str">
        <f t="shared" si="17"/>
        <v/>
      </c>
    </row>
    <row r="113" spans="1:35" x14ac:dyDescent="0.25">
      <c r="A113" s="69" t="str">
        <f t="shared" si="12"/>
        <v/>
      </c>
      <c r="B113" s="70" t="str">
        <f t="shared" si="9"/>
        <v/>
      </c>
      <c r="C113" s="71" t="str">
        <f t="shared" si="10"/>
        <v/>
      </c>
      <c r="D113" s="71" t="str">
        <f t="shared" si="11"/>
        <v/>
      </c>
      <c r="E113" s="71" t="str">
        <f t="shared" si="13"/>
        <v/>
      </c>
      <c r="F113" s="71" t="str">
        <f t="shared" si="14"/>
        <v/>
      </c>
      <c r="G113" s="71" t="str">
        <f t="shared" si="15"/>
        <v/>
      </c>
      <c r="AF113" s="77" t="str">
        <f t="shared" si="16"/>
        <v/>
      </c>
      <c r="AG113" s="82" t="str">
        <f>IF(OR(AA113="",AA113="Grand Total"),"",VLOOKUP(AA113,'Team Details'!B:C,2,0))</f>
        <v/>
      </c>
      <c r="AH113" s="81" t="str">
        <f>IF(OR(AA113="",AA113="Grand Total"),"",(IF(OR('Setup Parameters'!$C$6 = "SW Agile",'Setup Parameters'!$I$6 = "SW Agile"),"Story Point","Complexity Point")))</f>
        <v/>
      </c>
      <c r="AI113" s="81" t="str">
        <f t="shared" si="17"/>
        <v/>
      </c>
    </row>
    <row r="114" spans="1:35" x14ac:dyDescent="0.25">
      <c r="A114" s="69" t="str">
        <f t="shared" si="12"/>
        <v/>
      </c>
      <c r="B114" s="70" t="str">
        <f t="shared" si="9"/>
        <v/>
      </c>
      <c r="C114" s="71" t="str">
        <f t="shared" si="10"/>
        <v/>
      </c>
      <c r="D114" s="71" t="str">
        <f t="shared" si="11"/>
        <v/>
      </c>
      <c r="E114" s="71" t="str">
        <f t="shared" si="13"/>
        <v/>
      </c>
      <c r="F114" s="71" t="str">
        <f t="shared" si="14"/>
        <v/>
      </c>
      <c r="G114" s="71" t="str">
        <f t="shared" si="15"/>
        <v/>
      </c>
      <c r="AF114" s="77" t="str">
        <f t="shared" si="16"/>
        <v/>
      </c>
      <c r="AG114" s="82" t="str">
        <f>IF(OR(AA114="",AA114="Grand Total"),"",VLOOKUP(AA114,'Team Details'!B:C,2,0))</f>
        <v/>
      </c>
      <c r="AH114" s="81" t="str">
        <f>IF(OR(AA114="",AA114="Grand Total"),"",(IF(OR('Setup Parameters'!$C$6 = "SW Agile",'Setup Parameters'!$I$6 = "SW Agile"),"Story Point","Complexity Point")))</f>
        <v/>
      </c>
      <c r="AI114" s="81" t="str">
        <f t="shared" si="17"/>
        <v/>
      </c>
    </row>
    <row r="115" spans="1:35" x14ac:dyDescent="0.25">
      <c r="A115" s="69" t="str">
        <f t="shared" si="12"/>
        <v/>
      </c>
      <c r="B115" s="70" t="str">
        <f t="shared" si="9"/>
        <v/>
      </c>
      <c r="C115" s="71" t="str">
        <f t="shared" si="10"/>
        <v/>
      </c>
      <c r="D115" s="71" t="str">
        <f t="shared" si="11"/>
        <v/>
      </c>
      <c r="E115" s="71" t="str">
        <f t="shared" si="13"/>
        <v/>
      </c>
      <c r="F115" s="71" t="str">
        <f t="shared" si="14"/>
        <v/>
      </c>
      <c r="G115" s="71" t="str">
        <f t="shared" si="15"/>
        <v/>
      </c>
      <c r="AF115" s="77" t="str">
        <f t="shared" si="16"/>
        <v/>
      </c>
      <c r="AG115" s="82" t="str">
        <f>IF(OR(AA115="",AA115="Grand Total"),"",VLOOKUP(AA115,'Team Details'!B:C,2,0))</f>
        <v/>
      </c>
      <c r="AH115" s="81" t="str">
        <f>IF(OR(AA115="",AA115="Grand Total"),"",(IF(OR('Setup Parameters'!$C$6 = "SW Agile",'Setup Parameters'!$I$6 = "SW Agile"),"Story Point","Complexity Point")))</f>
        <v/>
      </c>
      <c r="AI115" s="81" t="str">
        <f t="shared" si="17"/>
        <v/>
      </c>
    </row>
    <row r="116" spans="1:35" x14ac:dyDescent="0.25">
      <c r="A116" s="69" t="str">
        <f t="shared" si="12"/>
        <v/>
      </c>
      <c r="B116" s="70" t="str">
        <f t="shared" si="9"/>
        <v/>
      </c>
      <c r="C116" s="71" t="str">
        <f t="shared" si="10"/>
        <v/>
      </c>
      <c r="D116" s="71" t="str">
        <f t="shared" si="11"/>
        <v/>
      </c>
      <c r="E116" s="71" t="str">
        <f t="shared" si="13"/>
        <v/>
      </c>
      <c r="F116" s="71" t="str">
        <f t="shared" si="14"/>
        <v/>
      </c>
      <c r="G116" s="71" t="str">
        <f t="shared" si="15"/>
        <v/>
      </c>
      <c r="AF116" s="77" t="str">
        <f t="shared" si="16"/>
        <v/>
      </c>
      <c r="AG116" s="82" t="str">
        <f>IF(OR(AA116="",AA116="Grand Total"),"",VLOOKUP(AA116,'Team Details'!B:C,2,0))</f>
        <v/>
      </c>
      <c r="AH116" s="81" t="str">
        <f>IF(OR(AA116="",AA116="Grand Total"),"",(IF(OR('Setup Parameters'!$C$6 = "SW Agile",'Setup Parameters'!$I$6 = "SW Agile"),"Story Point","Complexity Point")))</f>
        <v/>
      </c>
      <c r="AI116" s="81" t="str">
        <f t="shared" si="17"/>
        <v/>
      </c>
    </row>
    <row r="117" spans="1:35" x14ac:dyDescent="0.25">
      <c r="A117" s="69" t="str">
        <f t="shared" si="12"/>
        <v/>
      </c>
      <c r="B117" s="70" t="str">
        <f t="shared" si="9"/>
        <v/>
      </c>
      <c r="C117" s="71" t="str">
        <f t="shared" si="10"/>
        <v/>
      </c>
      <c r="D117" s="71" t="str">
        <f t="shared" si="11"/>
        <v/>
      </c>
      <c r="E117" s="71" t="str">
        <f t="shared" si="13"/>
        <v/>
      </c>
      <c r="F117" s="71" t="str">
        <f t="shared" si="14"/>
        <v/>
      </c>
      <c r="G117" s="71" t="str">
        <f t="shared" si="15"/>
        <v/>
      </c>
      <c r="AF117" s="77" t="str">
        <f t="shared" si="16"/>
        <v/>
      </c>
      <c r="AG117" s="82" t="str">
        <f>IF(OR(AA117="",AA117="Grand Total"),"",VLOOKUP(AA117,'Team Details'!B:C,2,0))</f>
        <v/>
      </c>
      <c r="AH117" s="81" t="str">
        <f>IF(OR(AA117="",AA117="Grand Total"),"",(IF(OR('Setup Parameters'!$C$6 = "SW Agile",'Setup Parameters'!$I$6 = "SW Agile"),"Story Point","Complexity Point")))</f>
        <v/>
      </c>
      <c r="AI117" s="81" t="str">
        <f t="shared" si="17"/>
        <v/>
      </c>
    </row>
    <row r="118" spans="1:35" x14ac:dyDescent="0.25">
      <c r="A118" s="69" t="str">
        <f t="shared" si="12"/>
        <v/>
      </c>
      <c r="B118" s="70" t="str">
        <f t="shared" si="9"/>
        <v/>
      </c>
      <c r="C118" s="71" t="str">
        <f t="shared" si="10"/>
        <v/>
      </c>
      <c r="D118" s="71" t="str">
        <f t="shared" si="11"/>
        <v/>
      </c>
      <c r="E118" s="71" t="str">
        <f t="shared" si="13"/>
        <v/>
      </c>
      <c r="F118" s="71" t="str">
        <f t="shared" si="14"/>
        <v/>
      </c>
      <c r="G118" s="71" t="str">
        <f t="shared" si="15"/>
        <v/>
      </c>
      <c r="AF118" s="77" t="str">
        <f t="shared" si="16"/>
        <v/>
      </c>
      <c r="AG118" s="82" t="str">
        <f>IF(OR(AA118="",AA118="Grand Total"),"",VLOOKUP(AA118,'Team Details'!B:C,2,0))</f>
        <v/>
      </c>
      <c r="AH118" s="81" t="str">
        <f>IF(OR(AA118="",AA118="Grand Total"),"",(IF(OR('Setup Parameters'!$C$6 = "SW Agile",'Setup Parameters'!$I$6 = "SW Agile"),"Story Point","Complexity Point")))</f>
        <v/>
      </c>
      <c r="AI118" s="81" t="str">
        <f t="shared" si="17"/>
        <v/>
      </c>
    </row>
    <row r="119" spans="1:35" x14ac:dyDescent="0.25">
      <c r="A119" s="69" t="str">
        <f t="shared" si="12"/>
        <v/>
      </c>
      <c r="B119" s="70" t="str">
        <f t="shared" si="9"/>
        <v/>
      </c>
      <c r="C119" s="71" t="str">
        <f t="shared" si="10"/>
        <v/>
      </c>
      <c r="D119" s="71" t="str">
        <f t="shared" si="11"/>
        <v/>
      </c>
      <c r="E119" s="71" t="str">
        <f t="shared" si="13"/>
        <v/>
      </c>
      <c r="F119" s="71" t="str">
        <f t="shared" si="14"/>
        <v/>
      </c>
      <c r="G119" s="71" t="str">
        <f t="shared" si="15"/>
        <v/>
      </c>
      <c r="AF119" s="77" t="str">
        <f t="shared" si="16"/>
        <v/>
      </c>
      <c r="AG119" s="82" t="str">
        <f>IF(OR(AA119="",AA119="Grand Total"),"",VLOOKUP(AA119,'Team Details'!B:C,2,0))</f>
        <v/>
      </c>
      <c r="AH119" s="81" t="str">
        <f>IF(OR(AA119="",AA119="Grand Total"),"",(IF(OR('Setup Parameters'!$C$6 = "SW Agile",'Setup Parameters'!$I$6 = "SW Agile"),"Story Point","Complexity Point")))</f>
        <v/>
      </c>
      <c r="AI119" s="81" t="str">
        <f t="shared" si="17"/>
        <v/>
      </c>
    </row>
    <row r="120" spans="1:35" x14ac:dyDescent="0.25">
      <c r="A120" s="69" t="str">
        <f t="shared" si="12"/>
        <v/>
      </c>
      <c r="B120" s="70" t="str">
        <f t="shared" si="9"/>
        <v/>
      </c>
      <c r="C120" s="71" t="str">
        <f t="shared" si="10"/>
        <v/>
      </c>
      <c r="D120" s="71" t="str">
        <f t="shared" si="11"/>
        <v/>
      </c>
      <c r="E120" s="71" t="str">
        <f t="shared" si="13"/>
        <v/>
      </c>
      <c r="F120" s="71" t="str">
        <f t="shared" si="14"/>
        <v/>
      </c>
      <c r="G120" s="71" t="str">
        <f t="shared" si="15"/>
        <v/>
      </c>
      <c r="AF120" s="77" t="str">
        <f t="shared" si="16"/>
        <v/>
      </c>
      <c r="AG120" s="82" t="str">
        <f>IF(OR(AA120="",AA120="Grand Total"),"",VLOOKUP(AA120,'Team Details'!B:C,2,0))</f>
        <v/>
      </c>
      <c r="AH120" s="81" t="str">
        <f>IF(OR(AA120="",AA120="Grand Total"),"",(IF(OR('Setup Parameters'!$C$6 = "SW Agile",'Setup Parameters'!$I$6 = "SW Agile"),"Story Point","Complexity Point")))</f>
        <v/>
      </c>
      <c r="AI120" s="81" t="str">
        <f t="shared" si="17"/>
        <v/>
      </c>
    </row>
    <row r="121" spans="1:35" x14ac:dyDescent="0.25">
      <c r="A121" s="69" t="str">
        <f t="shared" si="12"/>
        <v/>
      </c>
      <c r="B121" s="70" t="str">
        <f t="shared" si="9"/>
        <v/>
      </c>
      <c r="C121" s="71" t="str">
        <f t="shared" si="10"/>
        <v/>
      </c>
      <c r="D121" s="71" t="str">
        <f t="shared" si="11"/>
        <v/>
      </c>
      <c r="E121" s="71" t="str">
        <f t="shared" si="13"/>
        <v/>
      </c>
      <c r="F121" s="71" t="str">
        <f t="shared" si="14"/>
        <v/>
      </c>
      <c r="G121" s="71" t="str">
        <f t="shared" si="15"/>
        <v/>
      </c>
      <c r="AF121" s="77" t="str">
        <f t="shared" si="16"/>
        <v/>
      </c>
      <c r="AG121" s="82" t="str">
        <f>IF(OR(AA121="",AA121="Grand Total"),"",VLOOKUP(AA121,'Team Details'!B:C,2,0))</f>
        <v/>
      </c>
      <c r="AH121" s="81" t="str">
        <f>IF(OR(AA121="",AA121="Grand Total"),"",(IF(OR('Setup Parameters'!$C$6 = "SW Agile",'Setup Parameters'!$I$6 = "SW Agile"),"Story Point","Complexity Point")))</f>
        <v/>
      </c>
      <c r="AI121" s="81" t="str">
        <f t="shared" si="17"/>
        <v/>
      </c>
    </row>
    <row r="122" spans="1:35" x14ac:dyDescent="0.25">
      <c r="A122" s="69" t="str">
        <f t="shared" si="12"/>
        <v/>
      </c>
      <c r="B122" s="70" t="str">
        <f t="shared" si="9"/>
        <v/>
      </c>
      <c r="C122" s="71" t="str">
        <f t="shared" si="10"/>
        <v/>
      </c>
      <c r="D122" s="71" t="str">
        <f t="shared" si="11"/>
        <v/>
      </c>
      <c r="E122" s="71" t="str">
        <f t="shared" si="13"/>
        <v/>
      </c>
      <c r="F122" s="71" t="str">
        <f t="shared" si="14"/>
        <v/>
      </c>
      <c r="G122" s="71" t="str">
        <f t="shared" si="15"/>
        <v/>
      </c>
      <c r="AF122" s="77" t="str">
        <f t="shared" si="16"/>
        <v/>
      </c>
      <c r="AG122" s="82" t="str">
        <f>IF(OR(AA122="",AA122="Grand Total"),"",VLOOKUP(AA122,'Team Details'!B:C,2,0))</f>
        <v/>
      </c>
      <c r="AH122" s="81" t="str">
        <f>IF(OR(AA122="",AA122="Grand Total"),"",(IF(OR('Setup Parameters'!$C$6 = "SW Agile",'Setup Parameters'!$I$6 = "SW Agile"),"Story Point","Complexity Point")))</f>
        <v/>
      </c>
      <c r="AI122" s="81" t="str">
        <f t="shared" si="17"/>
        <v/>
      </c>
    </row>
    <row r="123" spans="1:35" x14ac:dyDescent="0.25">
      <c r="A123" s="69" t="str">
        <f t="shared" si="12"/>
        <v/>
      </c>
      <c r="B123" s="70" t="str">
        <f t="shared" si="9"/>
        <v/>
      </c>
      <c r="C123" s="71" t="str">
        <f t="shared" si="10"/>
        <v/>
      </c>
      <c r="D123" s="71" t="str">
        <f t="shared" si="11"/>
        <v/>
      </c>
      <c r="E123" s="71" t="str">
        <f t="shared" si="13"/>
        <v/>
      </c>
      <c r="F123" s="71" t="str">
        <f t="shared" si="14"/>
        <v/>
      </c>
      <c r="G123" s="71" t="str">
        <f t="shared" si="15"/>
        <v/>
      </c>
      <c r="AF123" s="77" t="str">
        <f t="shared" si="16"/>
        <v/>
      </c>
      <c r="AG123" s="82" t="str">
        <f>IF(OR(AA123="",AA123="Grand Total"),"",VLOOKUP(AA123,'Team Details'!B:C,2,0))</f>
        <v/>
      </c>
      <c r="AH123" s="81" t="str">
        <f>IF(OR(AA123="",AA123="Grand Total"),"",(IF(OR('Setup Parameters'!$C$6 = "SW Agile",'Setup Parameters'!$I$6 = "SW Agile"),"Story Point","Complexity Point")))</f>
        <v/>
      </c>
      <c r="AI123" s="81" t="str">
        <f t="shared" si="17"/>
        <v/>
      </c>
    </row>
    <row r="124" spans="1:35" x14ac:dyDescent="0.25">
      <c r="A124" s="69" t="str">
        <f t="shared" si="12"/>
        <v/>
      </c>
      <c r="B124" s="70" t="str">
        <f t="shared" si="9"/>
        <v/>
      </c>
      <c r="C124" s="71" t="str">
        <f t="shared" si="10"/>
        <v/>
      </c>
      <c r="D124" s="71" t="str">
        <f t="shared" si="11"/>
        <v/>
      </c>
      <c r="E124" s="71" t="str">
        <f t="shared" si="13"/>
        <v/>
      </c>
      <c r="F124" s="71" t="str">
        <f t="shared" si="14"/>
        <v/>
      </c>
      <c r="G124" s="71" t="str">
        <f t="shared" si="15"/>
        <v/>
      </c>
      <c r="AF124" s="77" t="str">
        <f t="shared" si="16"/>
        <v/>
      </c>
      <c r="AG124" s="82" t="str">
        <f>IF(OR(AA124="",AA124="Grand Total"),"",VLOOKUP(AA124,'Team Details'!B:C,2,0))</f>
        <v/>
      </c>
      <c r="AH124" s="81" t="str">
        <f>IF(OR(AA124="",AA124="Grand Total"),"",(IF(OR('Setup Parameters'!$C$6 = "SW Agile",'Setup Parameters'!$I$6 = "SW Agile"),"Story Point","Complexity Point")))</f>
        <v/>
      </c>
      <c r="AI124" s="81" t="str">
        <f t="shared" si="17"/>
        <v/>
      </c>
    </row>
    <row r="125" spans="1:35" x14ac:dyDescent="0.25">
      <c r="A125" s="69" t="str">
        <f t="shared" si="12"/>
        <v/>
      </c>
      <c r="B125" s="70" t="str">
        <f t="shared" si="9"/>
        <v/>
      </c>
      <c r="C125" s="71" t="str">
        <f t="shared" si="10"/>
        <v/>
      </c>
      <c r="D125" s="71" t="str">
        <f t="shared" si="11"/>
        <v/>
      </c>
      <c r="E125" s="71" t="str">
        <f t="shared" si="13"/>
        <v/>
      </c>
      <c r="F125" s="71" t="str">
        <f t="shared" si="14"/>
        <v/>
      </c>
      <c r="G125" s="71" t="str">
        <f t="shared" si="15"/>
        <v/>
      </c>
      <c r="AF125" s="77" t="str">
        <f t="shared" si="16"/>
        <v/>
      </c>
      <c r="AG125" s="82" t="str">
        <f>IF(OR(AA125="",AA125="Grand Total"),"",VLOOKUP(AA125,'Team Details'!B:C,2,0))</f>
        <v/>
      </c>
      <c r="AH125" s="81" t="str">
        <f>IF(OR(AA125="",AA125="Grand Total"),"",(IF(OR('Setup Parameters'!$C$6 = "SW Agile",'Setup Parameters'!$I$6 = "SW Agile"),"Story Point","Complexity Point")))</f>
        <v/>
      </c>
      <c r="AI125" s="81" t="str">
        <f t="shared" si="17"/>
        <v/>
      </c>
    </row>
    <row r="126" spans="1:35" x14ac:dyDescent="0.25">
      <c r="A126" s="69" t="str">
        <f t="shared" si="12"/>
        <v/>
      </c>
      <c r="B126" s="70" t="str">
        <f t="shared" si="9"/>
        <v/>
      </c>
      <c r="C126" s="71" t="str">
        <f t="shared" si="10"/>
        <v/>
      </c>
      <c r="D126" s="71" t="str">
        <f t="shared" si="11"/>
        <v/>
      </c>
      <c r="E126" s="71" t="str">
        <f t="shared" si="13"/>
        <v/>
      </c>
      <c r="F126" s="71" t="str">
        <f t="shared" si="14"/>
        <v/>
      </c>
      <c r="G126" s="71" t="str">
        <f t="shared" si="15"/>
        <v/>
      </c>
      <c r="AF126" s="77" t="str">
        <f t="shared" si="16"/>
        <v/>
      </c>
      <c r="AG126" s="82" t="str">
        <f>IF(OR(AA126="",AA126="Grand Total"),"",VLOOKUP(AA126,'Team Details'!B:C,2,0))</f>
        <v/>
      </c>
      <c r="AH126" s="81" t="str">
        <f>IF(OR(AA126="",AA126="Grand Total"),"",(IF(OR('Setup Parameters'!$C$6 = "SW Agile",'Setup Parameters'!$I$6 = "SW Agile"),"Story Point","Complexity Point")))</f>
        <v/>
      </c>
      <c r="AI126" s="81" t="str">
        <f t="shared" si="17"/>
        <v/>
      </c>
    </row>
    <row r="127" spans="1:35" x14ac:dyDescent="0.25">
      <c r="A127" s="69" t="str">
        <f t="shared" si="12"/>
        <v/>
      </c>
      <c r="B127" s="70" t="str">
        <f t="shared" si="9"/>
        <v/>
      </c>
      <c r="C127" s="71" t="str">
        <f t="shared" si="10"/>
        <v/>
      </c>
      <c r="D127" s="71" t="str">
        <f t="shared" si="11"/>
        <v/>
      </c>
      <c r="E127" s="71" t="str">
        <f t="shared" si="13"/>
        <v/>
      </c>
      <c r="F127" s="71" t="str">
        <f t="shared" si="14"/>
        <v/>
      </c>
      <c r="G127" s="71" t="str">
        <f t="shared" si="15"/>
        <v/>
      </c>
      <c r="AF127" s="77" t="str">
        <f t="shared" si="16"/>
        <v/>
      </c>
      <c r="AG127" s="82" t="str">
        <f>IF(OR(AA127="",AA127="Grand Total"),"",VLOOKUP(AA127,'Team Details'!B:C,2,0))</f>
        <v/>
      </c>
      <c r="AH127" s="81" t="str">
        <f>IF(OR(AA127="",AA127="Grand Total"),"",(IF(OR('Setup Parameters'!$C$6 = "SW Agile",'Setup Parameters'!$I$6 = "SW Agile"),"Story Point","Complexity Point")))</f>
        <v/>
      </c>
      <c r="AI127" s="81" t="str">
        <f t="shared" si="17"/>
        <v/>
      </c>
    </row>
    <row r="128" spans="1:35" x14ac:dyDescent="0.25">
      <c r="A128" s="69" t="str">
        <f t="shared" si="12"/>
        <v/>
      </c>
      <c r="B128" s="70" t="str">
        <f t="shared" si="9"/>
        <v/>
      </c>
      <c r="C128" s="71" t="str">
        <f t="shared" si="10"/>
        <v/>
      </c>
      <c r="D128" s="71" t="str">
        <f t="shared" si="11"/>
        <v/>
      </c>
      <c r="E128" s="71" t="str">
        <f t="shared" si="13"/>
        <v/>
      </c>
      <c r="F128" s="71" t="str">
        <f t="shared" si="14"/>
        <v/>
      </c>
      <c r="G128" s="71" t="str">
        <f t="shared" si="15"/>
        <v/>
      </c>
      <c r="AF128" s="77" t="str">
        <f t="shared" si="16"/>
        <v/>
      </c>
      <c r="AG128" s="82" t="str">
        <f>IF(OR(AA128="",AA128="Grand Total"),"",VLOOKUP(AA128,'Team Details'!B:C,2,0))</f>
        <v/>
      </c>
      <c r="AH128" s="81" t="str">
        <f>IF(OR(AA128="",AA128="Grand Total"),"",(IF(OR('Setup Parameters'!$C$6 = "SW Agile",'Setup Parameters'!$I$6 = "SW Agile"),"Story Point","Complexity Point")))</f>
        <v/>
      </c>
      <c r="AI128" s="81" t="str">
        <f t="shared" si="17"/>
        <v/>
      </c>
    </row>
    <row r="129" spans="1:35" x14ac:dyDescent="0.25">
      <c r="A129" s="69" t="str">
        <f t="shared" si="12"/>
        <v/>
      </c>
      <c r="B129" s="70" t="str">
        <f t="shared" si="9"/>
        <v/>
      </c>
      <c r="C129" s="71" t="str">
        <f t="shared" si="10"/>
        <v/>
      </c>
      <c r="D129" s="71" t="str">
        <f t="shared" si="11"/>
        <v/>
      </c>
      <c r="E129" s="71" t="str">
        <f t="shared" si="13"/>
        <v/>
      </c>
      <c r="F129" s="71" t="str">
        <f t="shared" si="14"/>
        <v/>
      </c>
      <c r="G129" s="71" t="str">
        <f t="shared" si="15"/>
        <v/>
      </c>
      <c r="AF129" s="77" t="str">
        <f t="shared" si="16"/>
        <v/>
      </c>
      <c r="AG129" s="82" t="str">
        <f>IF(OR(AA129="",AA129="Grand Total"),"",VLOOKUP(AA129,'Team Details'!B:C,2,0))</f>
        <v/>
      </c>
      <c r="AH129" s="81" t="str">
        <f>IF(OR(AA129="",AA129="Grand Total"),"",(IF(OR('Setup Parameters'!$C$6 = "SW Agile",'Setup Parameters'!$I$6 = "SW Agile"),"Story Point","Complexity Point")))</f>
        <v/>
      </c>
      <c r="AI129" s="81" t="str">
        <f t="shared" si="17"/>
        <v/>
      </c>
    </row>
    <row r="130" spans="1:35" x14ac:dyDescent="0.25">
      <c r="A130" s="69" t="str">
        <f t="shared" si="12"/>
        <v/>
      </c>
      <c r="B130" s="70" t="str">
        <f t="shared" ref="B130:B193" si="18">AG133</f>
        <v/>
      </c>
      <c r="C130" s="71" t="str">
        <f t="shared" ref="C130:C193" si="19">AH133</f>
        <v/>
      </c>
      <c r="D130" s="71" t="str">
        <f t="shared" ref="D130:D193" si="20">AI133</f>
        <v/>
      </c>
      <c r="E130" s="71" t="str">
        <f t="shared" si="13"/>
        <v/>
      </c>
      <c r="F130" s="71" t="str">
        <f t="shared" si="14"/>
        <v/>
      </c>
      <c r="G130" s="71" t="str">
        <f t="shared" si="15"/>
        <v/>
      </c>
      <c r="AF130" s="77" t="str">
        <f t="shared" si="16"/>
        <v/>
      </c>
      <c r="AG130" s="82" t="str">
        <f>IF(OR(AA130="",AA130="Grand Total"),"",VLOOKUP(AA130,'Team Details'!B:C,2,0))</f>
        <v/>
      </c>
      <c r="AH130" s="81" t="str">
        <f>IF(OR(AA130="",AA130="Grand Total"),"",(IF(OR('Setup Parameters'!$C$6 = "SW Agile",'Setup Parameters'!$I$6 = "SW Agile"),"Story Point","Complexity Point")))</f>
        <v/>
      </c>
      <c r="AI130" s="81" t="str">
        <f t="shared" si="17"/>
        <v/>
      </c>
    </row>
    <row r="131" spans="1:35" x14ac:dyDescent="0.25">
      <c r="A131" s="69" t="str">
        <f t="shared" ref="A131:A194" si="21">IF(AF134="","",AF134)</f>
        <v/>
      </c>
      <c r="B131" s="70" t="str">
        <f t="shared" si="18"/>
        <v/>
      </c>
      <c r="C131" s="71" t="str">
        <f t="shared" si="19"/>
        <v/>
      </c>
      <c r="D131" s="71" t="str">
        <f t="shared" si="20"/>
        <v/>
      </c>
      <c r="E131" s="71" t="str">
        <f t="shared" ref="E131:E194" si="22">IF(AB134="","",AB134)</f>
        <v/>
      </c>
      <c r="F131" s="71" t="str">
        <f t="shared" ref="F131:F194" si="23">IF(AC134="","",AC134)</f>
        <v/>
      </c>
      <c r="G131" s="71" t="str">
        <f t="shared" ref="G131:G194" si="24">IF(AD134="","",AD134)</f>
        <v/>
      </c>
      <c r="AF131" s="77" t="str">
        <f t="shared" si="16"/>
        <v/>
      </c>
      <c r="AG131" s="82" t="str">
        <f>IF(OR(AA131="",AA131="Grand Total"),"",VLOOKUP(AA131,'Team Details'!B:C,2,0))</f>
        <v/>
      </c>
      <c r="AH131" s="81" t="str">
        <f>IF(OR(AA131="",AA131="Grand Total"),"",(IF(OR('Setup Parameters'!$C$6 = "SW Agile",'Setup Parameters'!$I$6 = "SW Agile"),"Story Point","Complexity Point")))</f>
        <v/>
      </c>
      <c r="AI131" s="81" t="str">
        <f t="shared" si="17"/>
        <v/>
      </c>
    </row>
    <row r="132" spans="1:35" x14ac:dyDescent="0.25">
      <c r="A132" s="69" t="str">
        <f t="shared" si="21"/>
        <v/>
      </c>
      <c r="B132" s="70" t="str">
        <f t="shared" si="18"/>
        <v/>
      </c>
      <c r="C132" s="71" t="str">
        <f t="shared" si="19"/>
        <v/>
      </c>
      <c r="D132" s="71" t="str">
        <f t="shared" si="20"/>
        <v/>
      </c>
      <c r="E132" s="71" t="str">
        <f t="shared" si="22"/>
        <v/>
      </c>
      <c r="F132" s="71" t="str">
        <f t="shared" si="23"/>
        <v/>
      </c>
      <c r="G132" s="71" t="str">
        <f t="shared" si="24"/>
        <v/>
      </c>
      <c r="AF132" s="77" t="str">
        <f t="shared" si="16"/>
        <v/>
      </c>
      <c r="AG132" s="82" t="str">
        <f>IF(OR(AA132="",AA132="Grand Total"),"",VLOOKUP(AA132,'Team Details'!B:C,2,0))</f>
        <v/>
      </c>
      <c r="AH132" s="81" t="str">
        <f>IF(OR(AA132="",AA132="Grand Total"),"",(IF(OR('Setup Parameters'!$C$6 = "SW Agile",'Setup Parameters'!$I$6 = "SW Agile"),"Story Point","Complexity Point")))</f>
        <v/>
      </c>
      <c r="AI132" s="81" t="str">
        <f t="shared" si="17"/>
        <v/>
      </c>
    </row>
    <row r="133" spans="1:35" x14ac:dyDescent="0.25">
      <c r="A133" s="69" t="str">
        <f t="shared" si="21"/>
        <v/>
      </c>
      <c r="B133" s="70" t="str">
        <f t="shared" si="18"/>
        <v/>
      </c>
      <c r="C133" s="71" t="str">
        <f t="shared" si="19"/>
        <v/>
      </c>
      <c r="D133" s="71" t="str">
        <f t="shared" si="20"/>
        <v/>
      </c>
      <c r="E133" s="71" t="str">
        <f t="shared" si="22"/>
        <v/>
      </c>
      <c r="F133" s="71" t="str">
        <f t="shared" si="23"/>
        <v/>
      </c>
      <c r="G133" s="71" t="str">
        <f t="shared" si="24"/>
        <v/>
      </c>
      <c r="AF133" s="77" t="str">
        <f t="shared" si="16"/>
        <v/>
      </c>
      <c r="AG133" s="82" t="str">
        <f>IF(OR(AA133="",AA133="Grand Total"),"",VLOOKUP(AA133,'Team Details'!B:C,2,0))</f>
        <v/>
      </c>
      <c r="AH133" s="81" t="str">
        <f>IF(OR(AA133="",AA133="Grand Total"),"",(IF(OR('Setup Parameters'!$C$6 = "SW Agile",'Setup Parameters'!$I$6 = "SW Agile"),"Story Point","Complexity Point")))</f>
        <v/>
      </c>
      <c r="AI133" s="81" t="str">
        <f t="shared" si="17"/>
        <v/>
      </c>
    </row>
    <row r="134" spans="1:35" x14ac:dyDescent="0.25">
      <c r="A134" s="69" t="str">
        <f t="shared" si="21"/>
        <v/>
      </c>
      <c r="B134" s="70" t="str">
        <f t="shared" si="18"/>
        <v/>
      </c>
      <c r="C134" s="71" t="str">
        <f t="shared" si="19"/>
        <v/>
      </c>
      <c r="D134" s="71" t="str">
        <f t="shared" si="20"/>
        <v/>
      </c>
      <c r="E134" s="71" t="str">
        <f t="shared" si="22"/>
        <v/>
      </c>
      <c r="F134" s="71" t="str">
        <f t="shared" si="23"/>
        <v/>
      </c>
      <c r="G134" s="71" t="str">
        <f t="shared" si="24"/>
        <v/>
      </c>
      <c r="AF134" s="77" t="str">
        <f t="shared" ref="AF134:AF197" si="25">IF(Z134="","",$Z134)</f>
        <v/>
      </c>
      <c r="AG134" s="82" t="str">
        <f>IF(OR(AA134="",AA134="Grand Total"),"",VLOOKUP(AA134,'Team Details'!B:C,2,0))</f>
        <v/>
      </c>
      <c r="AH134" s="81" t="str">
        <f>IF(OR(AA134="",AA134="Grand Total"),"",(IF(OR('Setup Parameters'!$C$6 = "SW Agile",'Setup Parameters'!$I$6 = "SW Agile"),"Story Point","Complexity Point")))</f>
        <v/>
      </c>
      <c r="AI134" s="81" t="str">
        <f t="shared" ref="AI134:AI197" si="26">IF(AH134="","",IF(AH134="Story Point","SP/PH","CP/PH"))</f>
        <v/>
      </c>
    </row>
    <row r="135" spans="1:35" x14ac:dyDescent="0.25">
      <c r="A135" s="69" t="str">
        <f t="shared" si="21"/>
        <v/>
      </c>
      <c r="B135" s="70" t="str">
        <f t="shared" si="18"/>
        <v/>
      </c>
      <c r="C135" s="71" t="str">
        <f t="shared" si="19"/>
        <v/>
      </c>
      <c r="D135" s="71" t="str">
        <f t="shared" si="20"/>
        <v/>
      </c>
      <c r="E135" s="71" t="str">
        <f t="shared" si="22"/>
        <v/>
      </c>
      <c r="F135" s="71" t="str">
        <f t="shared" si="23"/>
        <v/>
      </c>
      <c r="G135" s="71" t="str">
        <f t="shared" si="24"/>
        <v/>
      </c>
      <c r="AF135" s="77" t="str">
        <f t="shared" si="25"/>
        <v/>
      </c>
      <c r="AG135" s="82" t="str">
        <f>IF(OR(AA135="",AA135="Grand Total"),"",VLOOKUP(AA135,'Team Details'!B:C,2,0))</f>
        <v/>
      </c>
      <c r="AH135" s="81" t="str">
        <f>IF(OR(AA135="",AA135="Grand Total"),"",(IF(OR('Setup Parameters'!$C$6 = "SW Agile",'Setup Parameters'!$I$6 = "SW Agile"),"Story Point","Complexity Point")))</f>
        <v/>
      </c>
      <c r="AI135" s="81" t="str">
        <f t="shared" si="26"/>
        <v/>
      </c>
    </row>
    <row r="136" spans="1:35" x14ac:dyDescent="0.25">
      <c r="A136" s="69" t="str">
        <f t="shared" si="21"/>
        <v/>
      </c>
      <c r="B136" s="70" t="str">
        <f t="shared" si="18"/>
        <v/>
      </c>
      <c r="C136" s="71" t="str">
        <f t="shared" si="19"/>
        <v/>
      </c>
      <c r="D136" s="71" t="str">
        <f t="shared" si="20"/>
        <v/>
      </c>
      <c r="E136" s="71" t="str">
        <f t="shared" si="22"/>
        <v/>
      </c>
      <c r="F136" s="71" t="str">
        <f t="shared" si="23"/>
        <v/>
      </c>
      <c r="G136" s="71" t="str">
        <f t="shared" si="24"/>
        <v/>
      </c>
      <c r="AF136" s="77" t="str">
        <f t="shared" si="25"/>
        <v/>
      </c>
      <c r="AG136" s="82" t="str">
        <f>IF(OR(AA136="",AA136="Grand Total"),"",VLOOKUP(AA136,'Team Details'!B:C,2,0))</f>
        <v/>
      </c>
      <c r="AH136" s="81" t="str">
        <f>IF(OR(AA136="",AA136="Grand Total"),"",(IF(OR('Setup Parameters'!$C$6 = "SW Agile",'Setup Parameters'!$I$6 = "SW Agile"),"Story Point","Complexity Point")))</f>
        <v/>
      </c>
      <c r="AI136" s="81" t="str">
        <f t="shared" si="26"/>
        <v/>
      </c>
    </row>
    <row r="137" spans="1:35" x14ac:dyDescent="0.25">
      <c r="A137" s="69" t="str">
        <f t="shared" si="21"/>
        <v/>
      </c>
      <c r="B137" s="70" t="str">
        <f t="shared" si="18"/>
        <v/>
      </c>
      <c r="C137" s="71" t="str">
        <f t="shared" si="19"/>
        <v/>
      </c>
      <c r="D137" s="71" t="str">
        <f t="shared" si="20"/>
        <v/>
      </c>
      <c r="E137" s="71" t="str">
        <f t="shared" si="22"/>
        <v/>
      </c>
      <c r="F137" s="71" t="str">
        <f t="shared" si="23"/>
        <v/>
      </c>
      <c r="G137" s="71" t="str">
        <f t="shared" si="24"/>
        <v/>
      </c>
      <c r="AF137" s="77" t="str">
        <f t="shared" si="25"/>
        <v/>
      </c>
      <c r="AG137" s="82" t="str">
        <f>IF(OR(AA137="",AA137="Grand Total"),"",VLOOKUP(AA137,'Team Details'!B:C,2,0))</f>
        <v/>
      </c>
      <c r="AH137" s="81" t="str">
        <f>IF(OR(AA137="",AA137="Grand Total"),"",(IF(OR('Setup Parameters'!$C$6 = "SW Agile",'Setup Parameters'!$I$6 = "SW Agile"),"Story Point","Complexity Point")))</f>
        <v/>
      </c>
      <c r="AI137" s="81" t="str">
        <f t="shared" si="26"/>
        <v/>
      </c>
    </row>
    <row r="138" spans="1:35" x14ac:dyDescent="0.25">
      <c r="A138" s="69" t="str">
        <f t="shared" si="21"/>
        <v/>
      </c>
      <c r="B138" s="70" t="str">
        <f t="shared" si="18"/>
        <v/>
      </c>
      <c r="C138" s="71" t="str">
        <f t="shared" si="19"/>
        <v/>
      </c>
      <c r="D138" s="71" t="str">
        <f t="shared" si="20"/>
        <v/>
      </c>
      <c r="E138" s="71" t="str">
        <f t="shared" si="22"/>
        <v/>
      </c>
      <c r="F138" s="71" t="str">
        <f t="shared" si="23"/>
        <v/>
      </c>
      <c r="G138" s="71" t="str">
        <f t="shared" si="24"/>
        <v/>
      </c>
      <c r="AF138" s="77" t="str">
        <f t="shared" si="25"/>
        <v/>
      </c>
      <c r="AG138" s="82" t="str">
        <f>IF(OR(AA138="",AA138="Grand Total"),"",VLOOKUP(AA138,'Team Details'!B:C,2,0))</f>
        <v/>
      </c>
      <c r="AH138" s="81" t="str">
        <f>IF(OR(AA138="",AA138="Grand Total"),"",(IF(OR('Setup Parameters'!$C$6 = "SW Agile",'Setup Parameters'!$I$6 = "SW Agile"),"Story Point","Complexity Point")))</f>
        <v/>
      </c>
      <c r="AI138" s="81" t="str">
        <f t="shared" si="26"/>
        <v/>
      </c>
    </row>
    <row r="139" spans="1:35" x14ac:dyDescent="0.25">
      <c r="A139" s="69" t="str">
        <f t="shared" si="21"/>
        <v/>
      </c>
      <c r="B139" s="70" t="str">
        <f t="shared" si="18"/>
        <v/>
      </c>
      <c r="C139" s="71" t="str">
        <f t="shared" si="19"/>
        <v/>
      </c>
      <c r="D139" s="71" t="str">
        <f t="shared" si="20"/>
        <v/>
      </c>
      <c r="E139" s="71" t="str">
        <f t="shared" si="22"/>
        <v/>
      </c>
      <c r="F139" s="71" t="str">
        <f t="shared" si="23"/>
        <v/>
      </c>
      <c r="G139" s="71" t="str">
        <f t="shared" si="24"/>
        <v/>
      </c>
      <c r="AF139" s="77" t="str">
        <f t="shared" si="25"/>
        <v/>
      </c>
      <c r="AG139" s="82" t="str">
        <f>IF(OR(AA139="",AA139="Grand Total"),"",VLOOKUP(AA139,'Team Details'!B:C,2,0))</f>
        <v/>
      </c>
      <c r="AH139" s="81" t="str">
        <f>IF(OR(AA139="",AA139="Grand Total"),"",(IF(OR('Setup Parameters'!$C$6 = "SW Agile",'Setup Parameters'!$I$6 = "SW Agile"),"Story Point","Complexity Point")))</f>
        <v/>
      </c>
      <c r="AI139" s="81" t="str">
        <f t="shared" si="26"/>
        <v/>
      </c>
    </row>
    <row r="140" spans="1:35" x14ac:dyDescent="0.25">
      <c r="A140" s="69" t="str">
        <f t="shared" si="21"/>
        <v/>
      </c>
      <c r="B140" s="70" t="str">
        <f t="shared" si="18"/>
        <v/>
      </c>
      <c r="C140" s="71" t="str">
        <f t="shared" si="19"/>
        <v/>
      </c>
      <c r="D140" s="71" t="str">
        <f t="shared" si="20"/>
        <v/>
      </c>
      <c r="E140" s="71" t="str">
        <f t="shared" si="22"/>
        <v/>
      </c>
      <c r="F140" s="71" t="str">
        <f t="shared" si="23"/>
        <v/>
      </c>
      <c r="G140" s="71" t="str">
        <f t="shared" si="24"/>
        <v/>
      </c>
      <c r="AF140" s="77" t="str">
        <f t="shared" si="25"/>
        <v/>
      </c>
      <c r="AG140" s="82" t="str">
        <f>IF(OR(AA140="",AA140="Grand Total"),"",VLOOKUP(AA140,'Team Details'!B:C,2,0))</f>
        <v/>
      </c>
      <c r="AH140" s="81" t="str">
        <f>IF(OR(AA140="",AA140="Grand Total"),"",(IF(OR('Setup Parameters'!$C$6 = "SW Agile",'Setup Parameters'!$I$6 = "SW Agile"),"Story Point","Complexity Point")))</f>
        <v/>
      </c>
      <c r="AI140" s="81" t="str">
        <f t="shared" si="26"/>
        <v/>
      </c>
    </row>
    <row r="141" spans="1:35" x14ac:dyDescent="0.25">
      <c r="A141" s="69" t="str">
        <f t="shared" si="21"/>
        <v/>
      </c>
      <c r="B141" s="70" t="str">
        <f t="shared" si="18"/>
        <v/>
      </c>
      <c r="C141" s="71" t="str">
        <f t="shared" si="19"/>
        <v/>
      </c>
      <c r="D141" s="71" t="str">
        <f t="shared" si="20"/>
        <v/>
      </c>
      <c r="E141" s="71" t="str">
        <f t="shared" si="22"/>
        <v/>
      </c>
      <c r="F141" s="71" t="str">
        <f t="shared" si="23"/>
        <v/>
      </c>
      <c r="G141" s="71" t="str">
        <f t="shared" si="24"/>
        <v/>
      </c>
      <c r="AF141" s="77" t="str">
        <f t="shared" si="25"/>
        <v/>
      </c>
      <c r="AG141" s="82" t="str">
        <f>IF(OR(AA141="",AA141="Grand Total"),"",VLOOKUP(AA141,'Team Details'!B:C,2,0))</f>
        <v/>
      </c>
      <c r="AH141" s="81" t="str">
        <f>IF(OR(AA141="",AA141="Grand Total"),"",(IF(OR('Setup Parameters'!$C$6 = "SW Agile",'Setup Parameters'!$I$6 = "SW Agile"),"Story Point","Complexity Point")))</f>
        <v/>
      </c>
      <c r="AI141" s="81" t="str">
        <f t="shared" si="26"/>
        <v/>
      </c>
    </row>
    <row r="142" spans="1:35" x14ac:dyDescent="0.25">
      <c r="A142" s="69" t="str">
        <f t="shared" si="21"/>
        <v/>
      </c>
      <c r="B142" s="70" t="str">
        <f t="shared" si="18"/>
        <v/>
      </c>
      <c r="C142" s="71" t="str">
        <f t="shared" si="19"/>
        <v/>
      </c>
      <c r="D142" s="71" t="str">
        <f t="shared" si="20"/>
        <v/>
      </c>
      <c r="E142" s="71" t="str">
        <f t="shared" si="22"/>
        <v/>
      </c>
      <c r="F142" s="71" t="str">
        <f t="shared" si="23"/>
        <v/>
      </c>
      <c r="G142" s="71" t="str">
        <f t="shared" si="24"/>
        <v/>
      </c>
      <c r="AF142" s="77" t="str">
        <f t="shared" si="25"/>
        <v/>
      </c>
      <c r="AG142" s="82" t="str">
        <f>IF(OR(AA142="",AA142="Grand Total"),"",VLOOKUP(AA142,'Team Details'!B:C,2,0))</f>
        <v/>
      </c>
      <c r="AH142" s="81" t="str">
        <f>IF(OR(AA142="",AA142="Grand Total"),"",(IF(OR('Setup Parameters'!$C$6 = "SW Agile",'Setup Parameters'!$I$6 = "SW Agile"),"Story Point","Complexity Point")))</f>
        <v/>
      </c>
      <c r="AI142" s="81" t="str">
        <f t="shared" si="26"/>
        <v/>
      </c>
    </row>
    <row r="143" spans="1:35" x14ac:dyDescent="0.25">
      <c r="A143" s="69" t="str">
        <f t="shared" si="21"/>
        <v/>
      </c>
      <c r="B143" s="70" t="str">
        <f t="shared" si="18"/>
        <v/>
      </c>
      <c r="C143" s="71" t="str">
        <f t="shared" si="19"/>
        <v/>
      </c>
      <c r="D143" s="71" t="str">
        <f t="shared" si="20"/>
        <v/>
      </c>
      <c r="E143" s="71" t="str">
        <f t="shared" si="22"/>
        <v/>
      </c>
      <c r="F143" s="71" t="str">
        <f t="shared" si="23"/>
        <v/>
      </c>
      <c r="G143" s="71" t="str">
        <f t="shared" si="24"/>
        <v/>
      </c>
      <c r="AF143" s="77" t="str">
        <f t="shared" si="25"/>
        <v/>
      </c>
      <c r="AG143" s="82" t="str">
        <f>IF(OR(AA143="",AA143="Grand Total"),"",VLOOKUP(AA143,'Team Details'!B:C,2,0))</f>
        <v/>
      </c>
      <c r="AH143" s="81" t="str">
        <f>IF(OR(AA143="",AA143="Grand Total"),"",(IF(OR('Setup Parameters'!$C$6 = "SW Agile",'Setup Parameters'!$I$6 = "SW Agile"),"Story Point","Complexity Point")))</f>
        <v/>
      </c>
      <c r="AI143" s="81" t="str">
        <f t="shared" si="26"/>
        <v/>
      </c>
    </row>
    <row r="144" spans="1:35" x14ac:dyDescent="0.25">
      <c r="A144" s="69" t="str">
        <f t="shared" si="21"/>
        <v/>
      </c>
      <c r="B144" s="70" t="str">
        <f t="shared" si="18"/>
        <v/>
      </c>
      <c r="C144" s="71" t="str">
        <f t="shared" si="19"/>
        <v/>
      </c>
      <c r="D144" s="71" t="str">
        <f t="shared" si="20"/>
        <v/>
      </c>
      <c r="E144" s="71" t="str">
        <f t="shared" si="22"/>
        <v/>
      </c>
      <c r="F144" s="71" t="str">
        <f t="shared" si="23"/>
        <v/>
      </c>
      <c r="G144" s="71" t="str">
        <f t="shared" si="24"/>
        <v/>
      </c>
      <c r="AF144" s="77" t="str">
        <f t="shared" si="25"/>
        <v/>
      </c>
      <c r="AG144" s="82" t="str">
        <f>IF(OR(AA144="",AA144="Grand Total"),"",VLOOKUP(AA144,'Team Details'!B:C,2,0))</f>
        <v/>
      </c>
      <c r="AH144" s="81" t="str">
        <f>IF(OR(AA144="",AA144="Grand Total"),"",(IF(OR('Setup Parameters'!$C$6 = "SW Agile",'Setup Parameters'!$I$6 = "SW Agile"),"Story Point","Complexity Point")))</f>
        <v/>
      </c>
      <c r="AI144" s="81" t="str">
        <f t="shared" si="26"/>
        <v/>
      </c>
    </row>
    <row r="145" spans="1:35" x14ac:dyDescent="0.25">
      <c r="A145" s="69" t="str">
        <f t="shared" si="21"/>
        <v/>
      </c>
      <c r="B145" s="70" t="str">
        <f t="shared" si="18"/>
        <v/>
      </c>
      <c r="C145" s="71" t="str">
        <f t="shared" si="19"/>
        <v/>
      </c>
      <c r="D145" s="71" t="str">
        <f t="shared" si="20"/>
        <v/>
      </c>
      <c r="E145" s="71" t="str">
        <f t="shared" si="22"/>
        <v/>
      </c>
      <c r="F145" s="71" t="str">
        <f t="shared" si="23"/>
        <v/>
      </c>
      <c r="G145" s="71" t="str">
        <f t="shared" si="24"/>
        <v/>
      </c>
      <c r="AF145" s="77" t="str">
        <f t="shared" si="25"/>
        <v/>
      </c>
      <c r="AG145" s="82" t="str">
        <f>IF(OR(AA145="",AA145="Grand Total"),"",VLOOKUP(AA145,'Team Details'!B:C,2,0))</f>
        <v/>
      </c>
      <c r="AH145" s="81" t="str">
        <f>IF(OR(AA145="",AA145="Grand Total"),"",(IF(OR('Setup Parameters'!$C$6 = "SW Agile",'Setup Parameters'!$I$6 = "SW Agile"),"Story Point","Complexity Point")))</f>
        <v/>
      </c>
      <c r="AI145" s="81" t="str">
        <f t="shared" si="26"/>
        <v/>
      </c>
    </row>
    <row r="146" spans="1:35" x14ac:dyDescent="0.25">
      <c r="A146" s="69" t="str">
        <f t="shared" si="21"/>
        <v/>
      </c>
      <c r="B146" s="70" t="str">
        <f t="shared" si="18"/>
        <v/>
      </c>
      <c r="C146" s="71" t="str">
        <f t="shared" si="19"/>
        <v/>
      </c>
      <c r="D146" s="71" t="str">
        <f t="shared" si="20"/>
        <v/>
      </c>
      <c r="E146" s="71" t="str">
        <f t="shared" si="22"/>
        <v/>
      </c>
      <c r="F146" s="71" t="str">
        <f t="shared" si="23"/>
        <v/>
      </c>
      <c r="G146" s="71" t="str">
        <f t="shared" si="24"/>
        <v/>
      </c>
      <c r="AF146" s="77" t="str">
        <f t="shared" si="25"/>
        <v/>
      </c>
      <c r="AG146" s="82" t="str">
        <f>IF(OR(AA146="",AA146="Grand Total"),"",VLOOKUP(AA146,'Team Details'!B:C,2,0))</f>
        <v/>
      </c>
      <c r="AH146" s="81" t="str">
        <f>IF(OR(AA146="",AA146="Grand Total"),"",(IF(OR('Setup Parameters'!$C$6 = "SW Agile",'Setup Parameters'!$I$6 = "SW Agile"),"Story Point","Complexity Point")))</f>
        <v/>
      </c>
      <c r="AI146" s="81" t="str">
        <f t="shared" si="26"/>
        <v/>
      </c>
    </row>
    <row r="147" spans="1:35" x14ac:dyDescent="0.25">
      <c r="A147" s="69" t="str">
        <f t="shared" si="21"/>
        <v/>
      </c>
      <c r="B147" s="70" t="str">
        <f t="shared" si="18"/>
        <v/>
      </c>
      <c r="C147" s="71" t="str">
        <f t="shared" si="19"/>
        <v/>
      </c>
      <c r="D147" s="71" t="str">
        <f t="shared" si="20"/>
        <v/>
      </c>
      <c r="E147" s="71" t="str">
        <f t="shared" si="22"/>
        <v/>
      </c>
      <c r="F147" s="71" t="str">
        <f t="shared" si="23"/>
        <v/>
      </c>
      <c r="G147" s="71" t="str">
        <f t="shared" si="24"/>
        <v/>
      </c>
      <c r="AF147" s="77" t="str">
        <f t="shared" si="25"/>
        <v/>
      </c>
      <c r="AG147" s="82" t="str">
        <f>IF(OR(AA147="",AA147="Grand Total"),"",VLOOKUP(AA147,'Team Details'!B:C,2,0))</f>
        <v/>
      </c>
      <c r="AH147" s="81" t="str">
        <f>IF(OR(AA147="",AA147="Grand Total"),"",(IF(OR('Setup Parameters'!$C$6 = "SW Agile",'Setup Parameters'!$I$6 = "SW Agile"),"Story Point","Complexity Point")))</f>
        <v/>
      </c>
      <c r="AI147" s="81" t="str">
        <f t="shared" si="26"/>
        <v/>
      </c>
    </row>
    <row r="148" spans="1:35" x14ac:dyDescent="0.25">
      <c r="A148" s="69" t="str">
        <f t="shared" si="21"/>
        <v/>
      </c>
      <c r="B148" s="70" t="str">
        <f t="shared" si="18"/>
        <v/>
      </c>
      <c r="C148" s="71" t="str">
        <f t="shared" si="19"/>
        <v/>
      </c>
      <c r="D148" s="71" t="str">
        <f t="shared" si="20"/>
        <v/>
      </c>
      <c r="E148" s="71" t="str">
        <f t="shared" si="22"/>
        <v/>
      </c>
      <c r="F148" s="71" t="str">
        <f t="shared" si="23"/>
        <v/>
      </c>
      <c r="G148" s="71" t="str">
        <f t="shared" si="24"/>
        <v/>
      </c>
      <c r="AF148" s="77" t="str">
        <f t="shared" si="25"/>
        <v/>
      </c>
      <c r="AG148" s="82" t="str">
        <f>IF(OR(AA148="",AA148="Grand Total"),"",VLOOKUP(AA148,'Team Details'!B:C,2,0))</f>
        <v/>
      </c>
      <c r="AH148" s="81" t="str">
        <f>IF(OR(AA148="",AA148="Grand Total"),"",(IF(OR('Setup Parameters'!$C$6 = "SW Agile",'Setup Parameters'!$I$6 = "SW Agile"),"Story Point","Complexity Point")))</f>
        <v/>
      </c>
      <c r="AI148" s="81" t="str">
        <f t="shared" si="26"/>
        <v/>
      </c>
    </row>
    <row r="149" spans="1:35" x14ac:dyDescent="0.25">
      <c r="A149" s="69" t="str">
        <f t="shared" si="21"/>
        <v/>
      </c>
      <c r="B149" s="70" t="str">
        <f t="shared" si="18"/>
        <v/>
      </c>
      <c r="C149" s="71" t="str">
        <f t="shared" si="19"/>
        <v/>
      </c>
      <c r="D149" s="71" t="str">
        <f t="shared" si="20"/>
        <v/>
      </c>
      <c r="E149" s="71" t="str">
        <f t="shared" si="22"/>
        <v/>
      </c>
      <c r="F149" s="71" t="str">
        <f t="shared" si="23"/>
        <v/>
      </c>
      <c r="G149" s="71" t="str">
        <f t="shared" si="24"/>
        <v/>
      </c>
      <c r="AF149" s="77" t="str">
        <f t="shared" si="25"/>
        <v/>
      </c>
      <c r="AG149" s="82" t="str">
        <f>IF(OR(AA149="",AA149="Grand Total"),"",VLOOKUP(AA149,'Team Details'!B:C,2,0))</f>
        <v/>
      </c>
      <c r="AH149" s="81" t="str">
        <f>IF(OR(AA149="",AA149="Grand Total"),"",(IF(OR('Setup Parameters'!$C$6 = "SW Agile",'Setup Parameters'!$I$6 = "SW Agile"),"Story Point","Complexity Point")))</f>
        <v/>
      </c>
      <c r="AI149" s="81" t="str">
        <f t="shared" si="26"/>
        <v/>
      </c>
    </row>
    <row r="150" spans="1:35" x14ac:dyDescent="0.25">
      <c r="A150" s="69" t="str">
        <f t="shared" si="21"/>
        <v/>
      </c>
      <c r="B150" s="70" t="str">
        <f t="shared" si="18"/>
        <v/>
      </c>
      <c r="C150" s="71" t="str">
        <f t="shared" si="19"/>
        <v/>
      </c>
      <c r="D150" s="71" t="str">
        <f t="shared" si="20"/>
        <v/>
      </c>
      <c r="E150" s="71" t="str">
        <f t="shared" si="22"/>
        <v/>
      </c>
      <c r="F150" s="71" t="str">
        <f t="shared" si="23"/>
        <v/>
      </c>
      <c r="G150" s="71" t="str">
        <f t="shared" si="24"/>
        <v/>
      </c>
      <c r="AF150" s="77" t="str">
        <f t="shared" si="25"/>
        <v/>
      </c>
      <c r="AG150" s="82" t="str">
        <f>IF(OR(AA150="",AA150="Grand Total"),"",VLOOKUP(AA150,'Team Details'!B:C,2,0))</f>
        <v/>
      </c>
      <c r="AH150" s="81" t="str">
        <f>IF(OR(AA150="",AA150="Grand Total"),"",(IF(OR('Setup Parameters'!$C$6 = "SW Agile",'Setup Parameters'!$I$6 = "SW Agile"),"Story Point","Complexity Point")))</f>
        <v/>
      </c>
      <c r="AI150" s="81" t="str">
        <f t="shared" si="26"/>
        <v/>
      </c>
    </row>
    <row r="151" spans="1:35" x14ac:dyDescent="0.25">
      <c r="A151" s="69" t="str">
        <f t="shared" si="21"/>
        <v/>
      </c>
      <c r="B151" s="70" t="str">
        <f t="shared" si="18"/>
        <v/>
      </c>
      <c r="C151" s="71" t="str">
        <f t="shared" si="19"/>
        <v/>
      </c>
      <c r="D151" s="71" t="str">
        <f t="shared" si="20"/>
        <v/>
      </c>
      <c r="E151" s="71" t="str">
        <f t="shared" si="22"/>
        <v/>
      </c>
      <c r="F151" s="71" t="str">
        <f t="shared" si="23"/>
        <v/>
      </c>
      <c r="G151" s="71" t="str">
        <f t="shared" si="24"/>
        <v/>
      </c>
      <c r="AF151" s="77" t="str">
        <f t="shared" si="25"/>
        <v/>
      </c>
      <c r="AG151" s="82" t="str">
        <f>IF(OR(AA151="",AA151="Grand Total"),"",VLOOKUP(AA151,'Team Details'!B:C,2,0))</f>
        <v/>
      </c>
      <c r="AH151" s="81" t="str">
        <f>IF(OR(AA151="",AA151="Grand Total"),"",(IF(OR('Setup Parameters'!$C$6 = "SW Agile",'Setup Parameters'!$I$6 = "SW Agile"),"Story Point","Complexity Point")))</f>
        <v/>
      </c>
      <c r="AI151" s="81" t="str">
        <f t="shared" si="26"/>
        <v/>
      </c>
    </row>
    <row r="152" spans="1:35" x14ac:dyDescent="0.25">
      <c r="A152" s="69" t="str">
        <f t="shared" si="21"/>
        <v/>
      </c>
      <c r="B152" s="70" t="str">
        <f t="shared" si="18"/>
        <v/>
      </c>
      <c r="C152" s="71" t="str">
        <f t="shared" si="19"/>
        <v/>
      </c>
      <c r="D152" s="71" t="str">
        <f t="shared" si="20"/>
        <v/>
      </c>
      <c r="E152" s="71" t="str">
        <f t="shared" si="22"/>
        <v/>
      </c>
      <c r="F152" s="71" t="str">
        <f t="shared" si="23"/>
        <v/>
      </c>
      <c r="G152" s="71" t="str">
        <f t="shared" si="24"/>
        <v/>
      </c>
      <c r="AF152" s="77" t="str">
        <f t="shared" si="25"/>
        <v/>
      </c>
      <c r="AG152" s="82" t="str">
        <f>IF(OR(AA152="",AA152="Grand Total"),"",VLOOKUP(AA152,'Team Details'!B:C,2,0))</f>
        <v/>
      </c>
      <c r="AH152" s="81" t="str">
        <f>IF(OR(AA152="",AA152="Grand Total"),"",(IF(OR('Setup Parameters'!$C$6 = "SW Agile",'Setup Parameters'!$I$6 = "SW Agile"),"Story Point","Complexity Point")))</f>
        <v/>
      </c>
      <c r="AI152" s="81" t="str">
        <f t="shared" si="26"/>
        <v/>
      </c>
    </row>
    <row r="153" spans="1:35" x14ac:dyDescent="0.25">
      <c r="A153" s="69" t="str">
        <f t="shared" si="21"/>
        <v/>
      </c>
      <c r="B153" s="70" t="str">
        <f t="shared" si="18"/>
        <v/>
      </c>
      <c r="C153" s="71" t="str">
        <f t="shared" si="19"/>
        <v/>
      </c>
      <c r="D153" s="71" t="str">
        <f t="shared" si="20"/>
        <v/>
      </c>
      <c r="E153" s="71" t="str">
        <f t="shared" si="22"/>
        <v/>
      </c>
      <c r="F153" s="71" t="str">
        <f t="shared" si="23"/>
        <v/>
      </c>
      <c r="G153" s="71" t="str">
        <f t="shared" si="24"/>
        <v/>
      </c>
      <c r="AF153" s="77" t="str">
        <f t="shared" si="25"/>
        <v/>
      </c>
      <c r="AG153" s="82" t="str">
        <f>IF(OR(AA153="",AA153="Grand Total"),"",VLOOKUP(AA153,'Team Details'!B:C,2,0))</f>
        <v/>
      </c>
      <c r="AH153" s="81" t="str">
        <f>IF(OR(AA153="",AA153="Grand Total"),"",(IF(OR('Setup Parameters'!$C$6 = "SW Agile",'Setup Parameters'!$I$6 = "SW Agile"),"Story Point","Complexity Point")))</f>
        <v/>
      </c>
      <c r="AI153" s="81" t="str">
        <f t="shared" si="26"/>
        <v/>
      </c>
    </row>
    <row r="154" spans="1:35" x14ac:dyDescent="0.25">
      <c r="A154" s="69" t="str">
        <f t="shared" si="21"/>
        <v/>
      </c>
      <c r="B154" s="70" t="str">
        <f t="shared" si="18"/>
        <v/>
      </c>
      <c r="C154" s="71" t="str">
        <f t="shared" si="19"/>
        <v/>
      </c>
      <c r="D154" s="71" t="str">
        <f t="shared" si="20"/>
        <v/>
      </c>
      <c r="E154" s="71" t="str">
        <f t="shared" si="22"/>
        <v/>
      </c>
      <c r="F154" s="71" t="str">
        <f t="shared" si="23"/>
        <v/>
      </c>
      <c r="G154" s="71" t="str">
        <f t="shared" si="24"/>
        <v/>
      </c>
      <c r="AF154" s="77" t="str">
        <f t="shared" si="25"/>
        <v/>
      </c>
      <c r="AG154" s="82" t="str">
        <f>IF(OR(AA154="",AA154="Grand Total"),"",VLOOKUP(AA154,'Team Details'!B:C,2,0))</f>
        <v/>
      </c>
      <c r="AH154" s="81" t="str">
        <f>IF(OR(AA154="",AA154="Grand Total"),"",(IF(OR('Setup Parameters'!$C$6 = "SW Agile",'Setup Parameters'!$I$6 = "SW Agile"),"Story Point","Complexity Point")))</f>
        <v/>
      </c>
      <c r="AI154" s="81" t="str">
        <f t="shared" si="26"/>
        <v/>
      </c>
    </row>
    <row r="155" spans="1:35" x14ac:dyDescent="0.25">
      <c r="A155" s="69" t="str">
        <f t="shared" si="21"/>
        <v/>
      </c>
      <c r="B155" s="70" t="str">
        <f t="shared" si="18"/>
        <v/>
      </c>
      <c r="C155" s="71" t="str">
        <f t="shared" si="19"/>
        <v/>
      </c>
      <c r="D155" s="71" t="str">
        <f t="shared" si="20"/>
        <v/>
      </c>
      <c r="E155" s="71" t="str">
        <f t="shared" si="22"/>
        <v/>
      </c>
      <c r="F155" s="71" t="str">
        <f t="shared" si="23"/>
        <v/>
      </c>
      <c r="G155" s="71" t="str">
        <f t="shared" si="24"/>
        <v/>
      </c>
      <c r="AF155" s="77" t="str">
        <f t="shared" si="25"/>
        <v/>
      </c>
      <c r="AG155" s="82" t="str">
        <f>IF(OR(AA155="",AA155="Grand Total"),"",VLOOKUP(AA155,'Team Details'!B:C,2,0))</f>
        <v/>
      </c>
      <c r="AH155" s="81" t="str">
        <f>IF(OR(AA155="",AA155="Grand Total"),"",(IF(OR('Setup Parameters'!$C$6 = "SW Agile",'Setup Parameters'!$I$6 = "SW Agile"),"Story Point","Complexity Point")))</f>
        <v/>
      </c>
      <c r="AI155" s="81" t="str">
        <f t="shared" si="26"/>
        <v/>
      </c>
    </row>
    <row r="156" spans="1:35" x14ac:dyDescent="0.25">
      <c r="A156" s="69" t="str">
        <f t="shared" si="21"/>
        <v/>
      </c>
      <c r="B156" s="70" t="str">
        <f t="shared" si="18"/>
        <v/>
      </c>
      <c r="C156" s="71" t="str">
        <f t="shared" si="19"/>
        <v/>
      </c>
      <c r="D156" s="71" t="str">
        <f t="shared" si="20"/>
        <v/>
      </c>
      <c r="E156" s="71" t="str">
        <f t="shared" si="22"/>
        <v/>
      </c>
      <c r="F156" s="71" t="str">
        <f t="shared" si="23"/>
        <v/>
      </c>
      <c r="G156" s="71" t="str">
        <f t="shared" si="24"/>
        <v/>
      </c>
      <c r="AF156" s="77" t="str">
        <f t="shared" si="25"/>
        <v/>
      </c>
      <c r="AG156" s="82" t="str">
        <f>IF(OR(AA156="",AA156="Grand Total"),"",VLOOKUP(AA156,'Team Details'!B:C,2,0))</f>
        <v/>
      </c>
      <c r="AH156" s="81" t="str">
        <f>IF(OR(AA156="",AA156="Grand Total"),"",(IF(OR('Setup Parameters'!$C$6 = "SW Agile",'Setup Parameters'!$I$6 = "SW Agile"),"Story Point","Complexity Point")))</f>
        <v/>
      </c>
      <c r="AI156" s="81" t="str">
        <f t="shared" si="26"/>
        <v/>
      </c>
    </row>
    <row r="157" spans="1:35" x14ac:dyDescent="0.25">
      <c r="A157" s="69" t="str">
        <f t="shared" si="21"/>
        <v/>
      </c>
      <c r="B157" s="70" t="str">
        <f t="shared" si="18"/>
        <v/>
      </c>
      <c r="C157" s="71" t="str">
        <f t="shared" si="19"/>
        <v/>
      </c>
      <c r="D157" s="71" t="str">
        <f t="shared" si="20"/>
        <v/>
      </c>
      <c r="E157" s="71" t="str">
        <f t="shared" si="22"/>
        <v/>
      </c>
      <c r="F157" s="71" t="str">
        <f t="shared" si="23"/>
        <v/>
      </c>
      <c r="G157" s="71" t="str">
        <f t="shared" si="24"/>
        <v/>
      </c>
      <c r="AF157" s="77" t="str">
        <f t="shared" si="25"/>
        <v/>
      </c>
      <c r="AG157" s="82" t="str">
        <f>IF(OR(AA157="",AA157="Grand Total"),"",VLOOKUP(AA157,'Team Details'!B:C,2,0))</f>
        <v/>
      </c>
      <c r="AH157" s="81" t="str">
        <f>IF(OR(AA157="",AA157="Grand Total"),"",(IF(OR('Setup Parameters'!$C$6 = "SW Agile",'Setup Parameters'!$I$6 = "SW Agile"),"Story Point","Complexity Point")))</f>
        <v/>
      </c>
      <c r="AI157" s="81" t="str">
        <f t="shared" si="26"/>
        <v/>
      </c>
    </row>
    <row r="158" spans="1:35" x14ac:dyDescent="0.25">
      <c r="A158" s="69" t="str">
        <f t="shared" si="21"/>
        <v/>
      </c>
      <c r="B158" s="70" t="str">
        <f t="shared" si="18"/>
        <v/>
      </c>
      <c r="C158" s="71" t="str">
        <f t="shared" si="19"/>
        <v/>
      </c>
      <c r="D158" s="71" t="str">
        <f t="shared" si="20"/>
        <v/>
      </c>
      <c r="E158" s="71" t="str">
        <f t="shared" si="22"/>
        <v/>
      </c>
      <c r="F158" s="71" t="str">
        <f t="shared" si="23"/>
        <v/>
      </c>
      <c r="G158" s="71" t="str">
        <f t="shared" si="24"/>
        <v/>
      </c>
      <c r="AF158" s="77" t="str">
        <f t="shared" si="25"/>
        <v/>
      </c>
      <c r="AG158" s="82" t="str">
        <f>IF(OR(AA158="",AA158="Grand Total"),"",VLOOKUP(AA158,'Team Details'!B:C,2,0))</f>
        <v/>
      </c>
      <c r="AH158" s="81" t="str">
        <f>IF(OR(AA158="",AA158="Grand Total"),"",(IF(OR('Setup Parameters'!$C$6 = "SW Agile",'Setup Parameters'!$I$6 = "SW Agile"),"Story Point","Complexity Point")))</f>
        <v/>
      </c>
      <c r="AI158" s="81" t="str">
        <f t="shared" si="26"/>
        <v/>
      </c>
    </row>
    <row r="159" spans="1:35" x14ac:dyDescent="0.25">
      <c r="A159" s="69" t="str">
        <f t="shared" si="21"/>
        <v/>
      </c>
      <c r="B159" s="70" t="str">
        <f t="shared" si="18"/>
        <v/>
      </c>
      <c r="C159" s="71" t="str">
        <f t="shared" si="19"/>
        <v/>
      </c>
      <c r="D159" s="71" t="str">
        <f t="shared" si="20"/>
        <v/>
      </c>
      <c r="E159" s="71" t="str">
        <f t="shared" si="22"/>
        <v/>
      </c>
      <c r="F159" s="71" t="str">
        <f t="shared" si="23"/>
        <v/>
      </c>
      <c r="G159" s="71" t="str">
        <f t="shared" si="24"/>
        <v/>
      </c>
      <c r="AF159" s="77" t="str">
        <f t="shared" si="25"/>
        <v/>
      </c>
      <c r="AG159" s="82" t="str">
        <f>IF(OR(AA159="",AA159="Grand Total"),"",VLOOKUP(AA159,'Team Details'!B:C,2,0))</f>
        <v/>
      </c>
      <c r="AH159" s="81" t="str">
        <f>IF(OR(AA159="",AA159="Grand Total"),"",(IF(OR('Setup Parameters'!$C$6 = "SW Agile",'Setup Parameters'!$I$6 = "SW Agile"),"Story Point","Complexity Point")))</f>
        <v/>
      </c>
      <c r="AI159" s="81" t="str">
        <f t="shared" si="26"/>
        <v/>
      </c>
    </row>
    <row r="160" spans="1:35" x14ac:dyDescent="0.25">
      <c r="A160" s="69" t="str">
        <f t="shared" si="21"/>
        <v/>
      </c>
      <c r="B160" s="70" t="str">
        <f t="shared" si="18"/>
        <v/>
      </c>
      <c r="C160" s="71" t="str">
        <f t="shared" si="19"/>
        <v/>
      </c>
      <c r="D160" s="71" t="str">
        <f t="shared" si="20"/>
        <v/>
      </c>
      <c r="E160" s="71" t="str">
        <f t="shared" si="22"/>
        <v/>
      </c>
      <c r="F160" s="71" t="str">
        <f t="shared" si="23"/>
        <v/>
      </c>
      <c r="G160" s="71" t="str">
        <f t="shared" si="24"/>
        <v/>
      </c>
      <c r="AF160" s="77" t="str">
        <f t="shared" si="25"/>
        <v/>
      </c>
      <c r="AG160" s="82" t="str">
        <f>IF(OR(AA160="",AA160="Grand Total"),"",VLOOKUP(AA160,'Team Details'!B:C,2,0))</f>
        <v/>
      </c>
      <c r="AH160" s="81" t="str">
        <f>IF(OR(AA160="",AA160="Grand Total"),"",(IF(OR('Setup Parameters'!$C$6 = "SW Agile",'Setup Parameters'!$I$6 = "SW Agile"),"Story Point","Complexity Point")))</f>
        <v/>
      </c>
      <c r="AI160" s="81" t="str">
        <f t="shared" si="26"/>
        <v/>
      </c>
    </row>
    <row r="161" spans="1:35" x14ac:dyDescent="0.25">
      <c r="A161" s="69" t="str">
        <f t="shared" si="21"/>
        <v/>
      </c>
      <c r="B161" s="70" t="str">
        <f t="shared" si="18"/>
        <v/>
      </c>
      <c r="C161" s="71" t="str">
        <f t="shared" si="19"/>
        <v/>
      </c>
      <c r="D161" s="71" t="str">
        <f t="shared" si="20"/>
        <v/>
      </c>
      <c r="E161" s="71" t="str">
        <f t="shared" si="22"/>
        <v/>
      </c>
      <c r="F161" s="71" t="str">
        <f t="shared" si="23"/>
        <v/>
      </c>
      <c r="G161" s="71" t="str">
        <f t="shared" si="24"/>
        <v/>
      </c>
      <c r="AF161" s="77" t="str">
        <f t="shared" si="25"/>
        <v/>
      </c>
      <c r="AG161" s="82" t="str">
        <f>IF(OR(AA161="",AA161="Grand Total"),"",VLOOKUP(AA161,'Team Details'!B:C,2,0))</f>
        <v/>
      </c>
      <c r="AH161" s="81" t="str">
        <f>IF(OR(AA161="",AA161="Grand Total"),"",(IF(OR('Setup Parameters'!$C$6 = "SW Agile",'Setup Parameters'!$I$6 = "SW Agile"),"Story Point","Complexity Point")))</f>
        <v/>
      </c>
      <c r="AI161" s="81" t="str">
        <f t="shared" si="26"/>
        <v/>
      </c>
    </row>
    <row r="162" spans="1:35" x14ac:dyDescent="0.25">
      <c r="A162" s="69" t="str">
        <f t="shared" si="21"/>
        <v/>
      </c>
      <c r="B162" s="70" t="str">
        <f t="shared" si="18"/>
        <v/>
      </c>
      <c r="C162" s="71" t="str">
        <f t="shared" si="19"/>
        <v/>
      </c>
      <c r="D162" s="71" t="str">
        <f t="shared" si="20"/>
        <v/>
      </c>
      <c r="E162" s="71" t="str">
        <f t="shared" si="22"/>
        <v/>
      </c>
      <c r="F162" s="71" t="str">
        <f t="shared" si="23"/>
        <v/>
      </c>
      <c r="G162" s="71" t="str">
        <f t="shared" si="24"/>
        <v/>
      </c>
      <c r="AF162" s="77" t="str">
        <f t="shared" si="25"/>
        <v/>
      </c>
      <c r="AG162" s="82" t="str">
        <f>IF(OR(AA162="",AA162="Grand Total"),"",VLOOKUP(AA162,'Team Details'!B:C,2,0))</f>
        <v/>
      </c>
      <c r="AH162" s="81" t="str">
        <f>IF(OR(AA162="",AA162="Grand Total"),"",(IF(OR('Setup Parameters'!$C$6 = "SW Agile",'Setup Parameters'!$I$6 = "SW Agile"),"Story Point","Complexity Point")))</f>
        <v/>
      </c>
      <c r="AI162" s="81" t="str">
        <f t="shared" si="26"/>
        <v/>
      </c>
    </row>
    <row r="163" spans="1:35" x14ac:dyDescent="0.25">
      <c r="A163" s="69" t="str">
        <f t="shared" si="21"/>
        <v/>
      </c>
      <c r="B163" s="70" t="str">
        <f t="shared" si="18"/>
        <v/>
      </c>
      <c r="C163" s="71" t="str">
        <f t="shared" si="19"/>
        <v/>
      </c>
      <c r="D163" s="71" t="str">
        <f t="shared" si="20"/>
        <v/>
      </c>
      <c r="E163" s="71" t="str">
        <f t="shared" si="22"/>
        <v/>
      </c>
      <c r="F163" s="71" t="str">
        <f t="shared" si="23"/>
        <v/>
      </c>
      <c r="G163" s="71" t="str">
        <f t="shared" si="24"/>
        <v/>
      </c>
      <c r="AF163" s="77" t="str">
        <f t="shared" si="25"/>
        <v/>
      </c>
      <c r="AG163" s="82" t="str">
        <f>IF(OR(AA163="",AA163="Grand Total"),"",VLOOKUP(AA163,'Team Details'!B:C,2,0))</f>
        <v/>
      </c>
      <c r="AH163" s="81" t="str">
        <f>IF(OR(AA163="",AA163="Grand Total"),"",(IF(OR('Setup Parameters'!$C$6 = "SW Agile",'Setup Parameters'!$I$6 = "SW Agile"),"Story Point","Complexity Point")))</f>
        <v/>
      </c>
      <c r="AI163" s="81" t="str">
        <f t="shared" si="26"/>
        <v/>
      </c>
    </row>
    <row r="164" spans="1:35" x14ac:dyDescent="0.25">
      <c r="A164" s="69" t="str">
        <f t="shared" si="21"/>
        <v/>
      </c>
      <c r="B164" s="70" t="str">
        <f t="shared" si="18"/>
        <v/>
      </c>
      <c r="C164" s="71" t="str">
        <f t="shared" si="19"/>
        <v/>
      </c>
      <c r="D164" s="71" t="str">
        <f t="shared" si="20"/>
        <v/>
      </c>
      <c r="E164" s="71" t="str">
        <f t="shared" si="22"/>
        <v/>
      </c>
      <c r="F164" s="71" t="str">
        <f t="shared" si="23"/>
        <v/>
      </c>
      <c r="G164" s="71" t="str">
        <f t="shared" si="24"/>
        <v/>
      </c>
      <c r="AF164" s="77" t="str">
        <f t="shared" si="25"/>
        <v/>
      </c>
      <c r="AG164" s="82" t="str">
        <f>IF(OR(AA164="",AA164="Grand Total"),"",VLOOKUP(AA164,'Team Details'!B:C,2,0))</f>
        <v/>
      </c>
      <c r="AH164" s="81" t="str">
        <f>IF(OR(AA164="",AA164="Grand Total"),"",(IF(OR('Setup Parameters'!$C$6 = "SW Agile",'Setup Parameters'!$I$6 = "SW Agile"),"Story Point","Complexity Point")))</f>
        <v/>
      </c>
      <c r="AI164" s="81" t="str">
        <f t="shared" si="26"/>
        <v/>
      </c>
    </row>
    <row r="165" spans="1:35" x14ac:dyDescent="0.25">
      <c r="A165" s="69" t="str">
        <f t="shared" si="21"/>
        <v/>
      </c>
      <c r="B165" s="70" t="str">
        <f t="shared" si="18"/>
        <v/>
      </c>
      <c r="C165" s="71" t="str">
        <f t="shared" si="19"/>
        <v/>
      </c>
      <c r="D165" s="71" t="str">
        <f t="shared" si="20"/>
        <v/>
      </c>
      <c r="E165" s="71" t="str">
        <f t="shared" si="22"/>
        <v/>
      </c>
      <c r="F165" s="71" t="str">
        <f t="shared" si="23"/>
        <v/>
      </c>
      <c r="G165" s="71" t="str">
        <f t="shared" si="24"/>
        <v/>
      </c>
      <c r="AF165" s="77" t="str">
        <f t="shared" si="25"/>
        <v/>
      </c>
      <c r="AG165" s="82" t="str">
        <f>IF(OR(AA165="",AA165="Grand Total"),"",VLOOKUP(AA165,'Team Details'!B:C,2,0))</f>
        <v/>
      </c>
      <c r="AH165" s="81" t="str">
        <f>IF(OR(AA165="",AA165="Grand Total"),"",(IF(OR('Setup Parameters'!$C$6 = "SW Agile",'Setup Parameters'!$I$6 = "SW Agile"),"Story Point","Complexity Point")))</f>
        <v/>
      </c>
      <c r="AI165" s="81" t="str">
        <f t="shared" si="26"/>
        <v/>
      </c>
    </row>
    <row r="166" spans="1:35" x14ac:dyDescent="0.25">
      <c r="A166" s="69" t="str">
        <f t="shared" si="21"/>
        <v/>
      </c>
      <c r="B166" s="70" t="str">
        <f t="shared" si="18"/>
        <v/>
      </c>
      <c r="C166" s="71" t="str">
        <f t="shared" si="19"/>
        <v/>
      </c>
      <c r="D166" s="71" t="str">
        <f t="shared" si="20"/>
        <v/>
      </c>
      <c r="E166" s="71" t="str">
        <f t="shared" si="22"/>
        <v/>
      </c>
      <c r="F166" s="71" t="str">
        <f t="shared" si="23"/>
        <v/>
      </c>
      <c r="G166" s="71" t="str">
        <f t="shared" si="24"/>
        <v/>
      </c>
      <c r="AF166" s="77" t="str">
        <f t="shared" si="25"/>
        <v/>
      </c>
      <c r="AG166" s="82" t="str">
        <f>IF(OR(AA166="",AA166="Grand Total"),"",VLOOKUP(AA166,'Team Details'!B:C,2,0))</f>
        <v/>
      </c>
      <c r="AH166" s="81" t="str">
        <f>IF(OR(AA166="",AA166="Grand Total"),"",(IF(OR('Setup Parameters'!$C$6 = "SW Agile",'Setup Parameters'!$I$6 = "SW Agile"),"Story Point","Complexity Point")))</f>
        <v/>
      </c>
      <c r="AI166" s="81" t="str">
        <f t="shared" si="26"/>
        <v/>
      </c>
    </row>
    <row r="167" spans="1:35" x14ac:dyDescent="0.25">
      <c r="A167" s="69" t="str">
        <f t="shared" si="21"/>
        <v/>
      </c>
      <c r="B167" s="70" t="str">
        <f t="shared" si="18"/>
        <v/>
      </c>
      <c r="C167" s="71" t="str">
        <f t="shared" si="19"/>
        <v/>
      </c>
      <c r="D167" s="71" t="str">
        <f t="shared" si="20"/>
        <v/>
      </c>
      <c r="E167" s="71" t="str">
        <f t="shared" si="22"/>
        <v/>
      </c>
      <c r="F167" s="71" t="str">
        <f t="shared" si="23"/>
        <v/>
      </c>
      <c r="G167" s="71" t="str">
        <f t="shared" si="24"/>
        <v/>
      </c>
      <c r="AF167" s="77" t="str">
        <f t="shared" si="25"/>
        <v/>
      </c>
      <c r="AG167" s="82" t="str">
        <f>IF(OR(AA167="",AA167="Grand Total"),"",VLOOKUP(AA167,'Team Details'!B:C,2,0))</f>
        <v/>
      </c>
      <c r="AH167" s="81" t="str">
        <f>IF(OR(AA167="",AA167="Grand Total"),"",(IF(OR('Setup Parameters'!$C$6 = "SW Agile",'Setup Parameters'!$I$6 = "SW Agile"),"Story Point","Complexity Point")))</f>
        <v/>
      </c>
      <c r="AI167" s="81" t="str">
        <f t="shared" si="26"/>
        <v/>
      </c>
    </row>
    <row r="168" spans="1:35" x14ac:dyDescent="0.25">
      <c r="A168" s="69" t="str">
        <f t="shared" si="21"/>
        <v/>
      </c>
      <c r="B168" s="70" t="str">
        <f t="shared" si="18"/>
        <v/>
      </c>
      <c r="C168" s="71" t="str">
        <f t="shared" si="19"/>
        <v/>
      </c>
      <c r="D168" s="71" t="str">
        <f t="shared" si="20"/>
        <v/>
      </c>
      <c r="E168" s="71" t="str">
        <f t="shared" si="22"/>
        <v/>
      </c>
      <c r="F168" s="71" t="str">
        <f t="shared" si="23"/>
        <v/>
      </c>
      <c r="G168" s="71" t="str">
        <f t="shared" si="24"/>
        <v/>
      </c>
      <c r="AF168" s="77" t="str">
        <f t="shared" si="25"/>
        <v/>
      </c>
      <c r="AG168" s="82" t="str">
        <f>IF(OR(AA168="",AA168="Grand Total"),"",VLOOKUP(AA168,'Team Details'!B:C,2,0))</f>
        <v/>
      </c>
      <c r="AH168" s="81" t="str">
        <f>IF(OR(AA168="",AA168="Grand Total"),"",(IF(OR('Setup Parameters'!$C$6 = "SW Agile",'Setup Parameters'!$I$6 = "SW Agile"),"Story Point","Complexity Point")))</f>
        <v/>
      </c>
      <c r="AI168" s="81" t="str">
        <f t="shared" si="26"/>
        <v/>
      </c>
    </row>
    <row r="169" spans="1:35" x14ac:dyDescent="0.25">
      <c r="A169" s="69" t="str">
        <f t="shared" si="21"/>
        <v/>
      </c>
      <c r="B169" s="70" t="str">
        <f t="shared" si="18"/>
        <v/>
      </c>
      <c r="C169" s="71" t="str">
        <f t="shared" si="19"/>
        <v/>
      </c>
      <c r="D169" s="71" t="str">
        <f t="shared" si="20"/>
        <v/>
      </c>
      <c r="E169" s="71" t="str">
        <f t="shared" si="22"/>
        <v/>
      </c>
      <c r="F169" s="71" t="str">
        <f t="shared" si="23"/>
        <v/>
      </c>
      <c r="G169" s="71" t="str">
        <f t="shared" si="24"/>
        <v/>
      </c>
      <c r="AF169" s="77" t="str">
        <f t="shared" si="25"/>
        <v/>
      </c>
      <c r="AG169" s="82" t="str">
        <f>IF(OR(AA169="",AA169="Grand Total"),"",VLOOKUP(AA169,'Team Details'!B:C,2,0))</f>
        <v/>
      </c>
      <c r="AH169" s="81" t="str">
        <f>IF(OR(AA169="",AA169="Grand Total"),"",(IF(OR('Setup Parameters'!$C$6 = "SW Agile",'Setup Parameters'!$I$6 = "SW Agile"),"Story Point","Complexity Point")))</f>
        <v/>
      </c>
      <c r="AI169" s="81" t="str">
        <f t="shared" si="26"/>
        <v/>
      </c>
    </row>
    <row r="170" spans="1:35" x14ac:dyDescent="0.25">
      <c r="A170" s="69" t="str">
        <f t="shared" si="21"/>
        <v/>
      </c>
      <c r="B170" s="70" t="str">
        <f t="shared" si="18"/>
        <v/>
      </c>
      <c r="C170" s="71" t="str">
        <f t="shared" si="19"/>
        <v/>
      </c>
      <c r="D170" s="71" t="str">
        <f t="shared" si="20"/>
        <v/>
      </c>
      <c r="E170" s="71" t="str">
        <f t="shared" si="22"/>
        <v/>
      </c>
      <c r="F170" s="71" t="str">
        <f t="shared" si="23"/>
        <v/>
      </c>
      <c r="G170" s="71" t="str">
        <f t="shared" si="24"/>
        <v/>
      </c>
      <c r="AF170" s="77" t="str">
        <f t="shared" si="25"/>
        <v/>
      </c>
      <c r="AG170" s="82" t="str">
        <f>IF(OR(AA170="",AA170="Grand Total"),"",VLOOKUP(AA170,'Team Details'!B:C,2,0))</f>
        <v/>
      </c>
      <c r="AH170" s="81" t="str">
        <f>IF(OR(AA170="",AA170="Grand Total"),"",(IF(OR('Setup Parameters'!$C$6 = "SW Agile",'Setup Parameters'!$I$6 = "SW Agile"),"Story Point","Complexity Point")))</f>
        <v/>
      </c>
      <c r="AI170" s="81" t="str">
        <f t="shared" si="26"/>
        <v/>
      </c>
    </row>
    <row r="171" spans="1:35" x14ac:dyDescent="0.25">
      <c r="A171" s="69" t="str">
        <f t="shared" si="21"/>
        <v/>
      </c>
      <c r="B171" s="70" t="str">
        <f t="shared" si="18"/>
        <v/>
      </c>
      <c r="C171" s="71" t="str">
        <f t="shared" si="19"/>
        <v/>
      </c>
      <c r="D171" s="71" t="str">
        <f t="shared" si="20"/>
        <v/>
      </c>
      <c r="E171" s="71" t="str">
        <f t="shared" si="22"/>
        <v/>
      </c>
      <c r="F171" s="71" t="str">
        <f t="shared" si="23"/>
        <v/>
      </c>
      <c r="G171" s="71" t="str">
        <f t="shared" si="24"/>
        <v/>
      </c>
      <c r="AF171" s="77" t="str">
        <f t="shared" si="25"/>
        <v/>
      </c>
      <c r="AG171" s="82" t="str">
        <f>IF(OR(AA171="",AA171="Grand Total"),"",VLOOKUP(AA171,'Team Details'!B:C,2,0))</f>
        <v/>
      </c>
      <c r="AH171" s="81" t="str">
        <f>IF(OR(AA171="",AA171="Grand Total"),"",(IF(OR('Setup Parameters'!$C$6 = "SW Agile",'Setup Parameters'!$I$6 = "SW Agile"),"Story Point","Complexity Point")))</f>
        <v/>
      </c>
      <c r="AI171" s="81" t="str">
        <f t="shared" si="26"/>
        <v/>
      </c>
    </row>
    <row r="172" spans="1:35" x14ac:dyDescent="0.25">
      <c r="A172" s="69" t="str">
        <f t="shared" si="21"/>
        <v/>
      </c>
      <c r="B172" s="70" t="str">
        <f t="shared" si="18"/>
        <v/>
      </c>
      <c r="C172" s="71" t="str">
        <f t="shared" si="19"/>
        <v/>
      </c>
      <c r="D172" s="71" t="str">
        <f t="shared" si="20"/>
        <v/>
      </c>
      <c r="E172" s="71" t="str">
        <f t="shared" si="22"/>
        <v/>
      </c>
      <c r="F172" s="71" t="str">
        <f t="shared" si="23"/>
        <v/>
      </c>
      <c r="G172" s="71" t="str">
        <f t="shared" si="24"/>
        <v/>
      </c>
      <c r="AF172" s="77" t="str">
        <f t="shared" si="25"/>
        <v/>
      </c>
      <c r="AG172" s="82" t="str">
        <f>IF(OR(AA172="",AA172="Grand Total"),"",VLOOKUP(AA172,'Team Details'!B:C,2,0))</f>
        <v/>
      </c>
      <c r="AH172" s="81" t="str">
        <f>IF(OR(AA172="",AA172="Grand Total"),"",(IF(OR('Setup Parameters'!$C$6 = "SW Agile",'Setup Parameters'!$I$6 = "SW Agile"),"Story Point","Complexity Point")))</f>
        <v/>
      </c>
      <c r="AI172" s="81" t="str">
        <f t="shared" si="26"/>
        <v/>
      </c>
    </row>
    <row r="173" spans="1:35" x14ac:dyDescent="0.25">
      <c r="A173" s="69" t="str">
        <f t="shared" si="21"/>
        <v/>
      </c>
      <c r="B173" s="70" t="str">
        <f t="shared" si="18"/>
        <v/>
      </c>
      <c r="C173" s="71" t="str">
        <f t="shared" si="19"/>
        <v/>
      </c>
      <c r="D173" s="71" t="str">
        <f t="shared" si="20"/>
        <v/>
      </c>
      <c r="E173" s="71" t="str">
        <f t="shared" si="22"/>
        <v/>
      </c>
      <c r="F173" s="71" t="str">
        <f t="shared" si="23"/>
        <v/>
      </c>
      <c r="G173" s="71" t="str">
        <f t="shared" si="24"/>
        <v/>
      </c>
      <c r="AF173" s="77" t="str">
        <f t="shared" si="25"/>
        <v/>
      </c>
      <c r="AG173" s="82" t="str">
        <f>IF(OR(AA173="",AA173="Grand Total"),"",VLOOKUP(AA173,'Team Details'!B:C,2,0))</f>
        <v/>
      </c>
      <c r="AH173" s="81" t="str">
        <f>IF(OR(AA173="",AA173="Grand Total"),"",(IF(OR('Setup Parameters'!$C$6 = "SW Agile",'Setup Parameters'!$I$6 = "SW Agile"),"Story Point","Complexity Point")))</f>
        <v/>
      </c>
      <c r="AI173" s="81" t="str">
        <f t="shared" si="26"/>
        <v/>
      </c>
    </row>
    <row r="174" spans="1:35" x14ac:dyDescent="0.25">
      <c r="A174" s="69" t="str">
        <f t="shared" si="21"/>
        <v/>
      </c>
      <c r="B174" s="70" t="str">
        <f t="shared" si="18"/>
        <v/>
      </c>
      <c r="C174" s="71" t="str">
        <f t="shared" si="19"/>
        <v/>
      </c>
      <c r="D174" s="71" t="str">
        <f t="shared" si="20"/>
        <v/>
      </c>
      <c r="E174" s="71" t="str">
        <f t="shared" si="22"/>
        <v/>
      </c>
      <c r="F174" s="71" t="str">
        <f t="shared" si="23"/>
        <v/>
      </c>
      <c r="G174" s="71" t="str">
        <f t="shared" si="24"/>
        <v/>
      </c>
      <c r="AF174" s="77" t="str">
        <f t="shared" si="25"/>
        <v/>
      </c>
      <c r="AG174" s="82" t="str">
        <f>IF(OR(AA174="",AA174="Grand Total"),"",VLOOKUP(AA174,'Team Details'!B:C,2,0))</f>
        <v/>
      </c>
      <c r="AH174" s="81" t="str">
        <f>IF(OR(AA174="",AA174="Grand Total"),"",(IF(OR('Setup Parameters'!$C$6 = "SW Agile",'Setup Parameters'!$I$6 = "SW Agile"),"Story Point","Complexity Point")))</f>
        <v/>
      </c>
      <c r="AI174" s="81" t="str">
        <f t="shared" si="26"/>
        <v/>
      </c>
    </row>
    <row r="175" spans="1:35" x14ac:dyDescent="0.25">
      <c r="A175" s="69" t="str">
        <f t="shared" si="21"/>
        <v/>
      </c>
      <c r="B175" s="70" t="str">
        <f t="shared" si="18"/>
        <v/>
      </c>
      <c r="C175" s="71" t="str">
        <f t="shared" si="19"/>
        <v/>
      </c>
      <c r="D175" s="71" t="str">
        <f t="shared" si="20"/>
        <v/>
      </c>
      <c r="E175" s="71" t="str">
        <f t="shared" si="22"/>
        <v/>
      </c>
      <c r="F175" s="71" t="str">
        <f t="shared" si="23"/>
        <v/>
      </c>
      <c r="G175" s="71" t="str">
        <f t="shared" si="24"/>
        <v/>
      </c>
      <c r="AF175" s="77" t="str">
        <f t="shared" si="25"/>
        <v/>
      </c>
      <c r="AG175" s="82" t="str">
        <f>IF(OR(AA175="",AA175="Grand Total"),"",VLOOKUP(AA175,'Team Details'!B:C,2,0))</f>
        <v/>
      </c>
      <c r="AH175" s="81" t="str">
        <f>IF(OR(AA175="",AA175="Grand Total"),"",(IF(OR('Setup Parameters'!$C$6 = "SW Agile",'Setup Parameters'!$I$6 = "SW Agile"),"Story Point","Complexity Point")))</f>
        <v/>
      </c>
      <c r="AI175" s="81" t="str">
        <f t="shared" si="26"/>
        <v/>
      </c>
    </row>
    <row r="176" spans="1:35" x14ac:dyDescent="0.25">
      <c r="A176" s="69" t="str">
        <f t="shared" si="21"/>
        <v/>
      </c>
      <c r="B176" s="70" t="str">
        <f t="shared" si="18"/>
        <v/>
      </c>
      <c r="C176" s="71" t="str">
        <f t="shared" si="19"/>
        <v/>
      </c>
      <c r="D176" s="71" t="str">
        <f t="shared" si="20"/>
        <v/>
      </c>
      <c r="E176" s="71" t="str">
        <f t="shared" si="22"/>
        <v/>
      </c>
      <c r="F176" s="71" t="str">
        <f t="shared" si="23"/>
        <v/>
      </c>
      <c r="G176" s="71" t="str">
        <f t="shared" si="24"/>
        <v/>
      </c>
      <c r="AF176" s="77" t="str">
        <f t="shared" si="25"/>
        <v/>
      </c>
      <c r="AG176" s="82" t="str">
        <f>IF(OR(AA176="",AA176="Grand Total"),"",VLOOKUP(AA176,'Team Details'!B:C,2,0))</f>
        <v/>
      </c>
      <c r="AH176" s="81" t="str">
        <f>IF(OR(AA176="",AA176="Grand Total"),"",(IF(OR('Setup Parameters'!$C$6 = "SW Agile",'Setup Parameters'!$I$6 = "SW Agile"),"Story Point","Complexity Point")))</f>
        <v/>
      </c>
      <c r="AI176" s="81" t="str">
        <f t="shared" si="26"/>
        <v/>
      </c>
    </row>
    <row r="177" spans="1:35" x14ac:dyDescent="0.25">
      <c r="A177" s="69" t="str">
        <f t="shared" si="21"/>
        <v/>
      </c>
      <c r="B177" s="70" t="str">
        <f t="shared" si="18"/>
        <v/>
      </c>
      <c r="C177" s="71" t="str">
        <f t="shared" si="19"/>
        <v/>
      </c>
      <c r="D177" s="71" t="str">
        <f t="shared" si="20"/>
        <v/>
      </c>
      <c r="E177" s="71" t="str">
        <f t="shared" si="22"/>
        <v/>
      </c>
      <c r="F177" s="71" t="str">
        <f t="shared" si="23"/>
        <v/>
      </c>
      <c r="G177" s="71" t="str">
        <f t="shared" si="24"/>
        <v/>
      </c>
      <c r="AF177" s="77" t="str">
        <f t="shared" si="25"/>
        <v/>
      </c>
      <c r="AG177" s="82" t="str">
        <f>IF(OR(AA177="",AA177="Grand Total"),"",VLOOKUP(AA177,'Team Details'!B:C,2,0))</f>
        <v/>
      </c>
      <c r="AH177" s="81" t="str">
        <f>IF(OR(AA177="",AA177="Grand Total"),"",(IF(OR('Setup Parameters'!$C$6 = "SW Agile",'Setup Parameters'!$I$6 = "SW Agile"),"Story Point","Complexity Point")))</f>
        <v/>
      </c>
      <c r="AI177" s="81" t="str">
        <f t="shared" si="26"/>
        <v/>
      </c>
    </row>
    <row r="178" spans="1:35" x14ac:dyDescent="0.25">
      <c r="A178" s="69" t="str">
        <f t="shared" si="21"/>
        <v/>
      </c>
      <c r="B178" s="70" t="str">
        <f t="shared" si="18"/>
        <v/>
      </c>
      <c r="C178" s="71" t="str">
        <f t="shared" si="19"/>
        <v/>
      </c>
      <c r="D178" s="71" t="str">
        <f t="shared" si="20"/>
        <v/>
      </c>
      <c r="E178" s="71" t="str">
        <f t="shared" si="22"/>
        <v/>
      </c>
      <c r="F178" s="71" t="str">
        <f t="shared" si="23"/>
        <v/>
      </c>
      <c r="G178" s="71" t="str">
        <f t="shared" si="24"/>
        <v/>
      </c>
      <c r="AF178" s="77" t="str">
        <f t="shared" si="25"/>
        <v/>
      </c>
      <c r="AG178" s="82" t="str">
        <f>IF(OR(AA178="",AA178="Grand Total"),"",VLOOKUP(AA178,'Team Details'!B:C,2,0))</f>
        <v/>
      </c>
      <c r="AH178" s="81" t="str">
        <f>IF(OR(AA178="",AA178="Grand Total"),"",(IF(OR('Setup Parameters'!$C$6 = "SW Agile",'Setup Parameters'!$I$6 = "SW Agile"),"Story Point","Complexity Point")))</f>
        <v/>
      </c>
      <c r="AI178" s="81" t="str">
        <f t="shared" si="26"/>
        <v/>
      </c>
    </row>
    <row r="179" spans="1:35" x14ac:dyDescent="0.25">
      <c r="A179" s="69" t="str">
        <f t="shared" si="21"/>
        <v/>
      </c>
      <c r="B179" s="70" t="str">
        <f t="shared" si="18"/>
        <v/>
      </c>
      <c r="C179" s="71" t="str">
        <f t="shared" si="19"/>
        <v/>
      </c>
      <c r="D179" s="71" t="str">
        <f t="shared" si="20"/>
        <v/>
      </c>
      <c r="E179" s="71" t="str">
        <f t="shared" si="22"/>
        <v/>
      </c>
      <c r="F179" s="71" t="str">
        <f t="shared" si="23"/>
        <v/>
      </c>
      <c r="G179" s="71" t="str">
        <f t="shared" si="24"/>
        <v/>
      </c>
      <c r="AF179" s="77" t="str">
        <f t="shared" si="25"/>
        <v/>
      </c>
      <c r="AG179" s="82" t="str">
        <f>IF(OR(AA179="",AA179="Grand Total"),"",VLOOKUP(AA179,'Team Details'!B:C,2,0))</f>
        <v/>
      </c>
      <c r="AH179" s="81" t="str">
        <f>IF(OR(AA179="",AA179="Grand Total"),"",(IF(OR('Setup Parameters'!$C$6 = "SW Agile",'Setup Parameters'!$I$6 = "SW Agile"),"Story Point","Complexity Point")))</f>
        <v/>
      </c>
      <c r="AI179" s="81" t="str">
        <f t="shared" si="26"/>
        <v/>
      </c>
    </row>
    <row r="180" spans="1:35" x14ac:dyDescent="0.25">
      <c r="A180" s="69" t="str">
        <f t="shared" si="21"/>
        <v/>
      </c>
      <c r="B180" s="70" t="str">
        <f t="shared" si="18"/>
        <v/>
      </c>
      <c r="C180" s="71" t="str">
        <f t="shared" si="19"/>
        <v/>
      </c>
      <c r="D180" s="71" t="str">
        <f t="shared" si="20"/>
        <v/>
      </c>
      <c r="E180" s="71" t="str">
        <f t="shared" si="22"/>
        <v/>
      </c>
      <c r="F180" s="71" t="str">
        <f t="shared" si="23"/>
        <v/>
      </c>
      <c r="G180" s="71" t="str">
        <f t="shared" si="24"/>
        <v/>
      </c>
      <c r="AF180" s="77" t="str">
        <f t="shared" si="25"/>
        <v/>
      </c>
      <c r="AG180" s="82" t="str">
        <f>IF(OR(AA180="",AA180="Grand Total"),"",VLOOKUP(AA180,'Team Details'!B:C,2,0))</f>
        <v/>
      </c>
      <c r="AH180" s="81" t="str">
        <f>IF(OR(AA180="",AA180="Grand Total"),"",(IF(OR('Setup Parameters'!$C$6 = "SW Agile",'Setup Parameters'!$I$6 = "SW Agile"),"Story Point","Complexity Point")))</f>
        <v/>
      </c>
      <c r="AI180" s="81" t="str">
        <f t="shared" si="26"/>
        <v/>
      </c>
    </row>
    <row r="181" spans="1:35" x14ac:dyDescent="0.25">
      <c r="A181" s="69" t="str">
        <f t="shared" si="21"/>
        <v/>
      </c>
      <c r="B181" s="70" t="str">
        <f t="shared" si="18"/>
        <v/>
      </c>
      <c r="C181" s="71" t="str">
        <f t="shared" si="19"/>
        <v/>
      </c>
      <c r="D181" s="71" t="str">
        <f t="shared" si="20"/>
        <v/>
      </c>
      <c r="E181" s="71" t="str">
        <f t="shared" si="22"/>
        <v/>
      </c>
      <c r="F181" s="71" t="str">
        <f t="shared" si="23"/>
        <v/>
      </c>
      <c r="G181" s="71" t="str">
        <f t="shared" si="24"/>
        <v/>
      </c>
      <c r="AF181" s="77" t="str">
        <f t="shared" si="25"/>
        <v/>
      </c>
      <c r="AG181" s="82" t="str">
        <f>IF(OR(AA181="",AA181="Grand Total"),"",VLOOKUP(AA181,'Team Details'!B:C,2,0))</f>
        <v/>
      </c>
      <c r="AH181" s="81" t="str">
        <f>IF(OR(AA181="",AA181="Grand Total"),"",(IF(OR('Setup Parameters'!$C$6 = "SW Agile",'Setup Parameters'!$I$6 = "SW Agile"),"Story Point","Complexity Point")))</f>
        <v/>
      </c>
      <c r="AI181" s="81" t="str">
        <f t="shared" si="26"/>
        <v/>
      </c>
    </row>
    <row r="182" spans="1:35" x14ac:dyDescent="0.25">
      <c r="A182" s="69" t="str">
        <f t="shared" si="21"/>
        <v/>
      </c>
      <c r="B182" s="70" t="str">
        <f t="shared" si="18"/>
        <v/>
      </c>
      <c r="C182" s="71" t="str">
        <f t="shared" si="19"/>
        <v/>
      </c>
      <c r="D182" s="71" t="str">
        <f t="shared" si="20"/>
        <v/>
      </c>
      <c r="E182" s="71" t="str">
        <f t="shared" si="22"/>
        <v/>
      </c>
      <c r="F182" s="71" t="str">
        <f t="shared" si="23"/>
        <v/>
      </c>
      <c r="G182" s="71" t="str">
        <f t="shared" si="24"/>
        <v/>
      </c>
      <c r="AF182" s="77" t="str">
        <f t="shared" si="25"/>
        <v/>
      </c>
      <c r="AG182" s="82" t="str">
        <f>IF(OR(AA182="",AA182="Grand Total"),"",VLOOKUP(AA182,'Team Details'!B:C,2,0))</f>
        <v/>
      </c>
      <c r="AH182" s="81" t="str">
        <f>IF(OR(AA182="",AA182="Grand Total"),"",(IF(OR('Setup Parameters'!$C$6 = "SW Agile",'Setup Parameters'!$I$6 = "SW Agile"),"Story Point","Complexity Point")))</f>
        <v/>
      </c>
      <c r="AI182" s="81" t="str">
        <f t="shared" si="26"/>
        <v/>
      </c>
    </row>
    <row r="183" spans="1:35" x14ac:dyDescent="0.25">
      <c r="A183" s="69" t="str">
        <f t="shared" si="21"/>
        <v/>
      </c>
      <c r="B183" s="70" t="str">
        <f t="shared" si="18"/>
        <v/>
      </c>
      <c r="C183" s="71" t="str">
        <f t="shared" si="19"/>
        <v/>
      </c>
      <c r="D183" s="71" t="str">
        <f t="shared" si="20"/>
        <v/>
      </c>
      <c r="E183" s="71" t="str">
        <f t="shared" si="22"/>
        <v/>
      </c>
      <c r="F183" s="71" t="str">
        <f t="shared" si="23"/>
        <v/>
      </c>
      <c r="G183" s="71" t="str">
        <f t="shared" si="24"/>
        <v/>
      </c>
      <c r="AF183" s="77" t="str">
        <f t="shared" si="25"/>
        <v/>
      </c>
      <c r="AG183" s="82" t="str">
        <f>IF(OR(AA183="",AA183="Grand Total"),"",VLOOKUP(AA183,'Team Details'!B:C,2,0))</f>
        <v/>
      </c>
      <c r="AH183" s="81" t="str">
        <f>IF(OR(AA183="",AA183="Grand Total"),"",(IF(OR('Setup Parameters'!$C$6 = "SW Agile",'Setup Parameters'!$I$6 = "SW Agile"),"Story Point","Complexity Point")))</f>
        <v/>
      </c>
      <c r="AI183" s="81" t="str">
        <f t="shared" si="26"/>
        <v/>
      </c>
    </row>
    <row r="184" spans="1:35" x14ac:dyDescent="0.25">
      <c r="A184" s="69" t="str">
        <f t="shared" si="21"/>
        <v/>
      </c>
      <c r="B184" s="70" t="str">
        <f t="shared" si="18"/>
        <v/>
      </c>
      <c r="C184" s="71" t="str">
        <f t="shared" si="19"/>
        <v/>
      </c>
      <c r="D184" s="71" t="str">
        <f t="shared" si="20"/>
        <v/>
      </c>
      <c r="E184" s="71" t="str">
        <f t="shared" si="22"/>
        <v/>
      </c>
      <c r="F184" s="71" t="str">
        <f t="shared" si="23"/>
        <v/>
      </c>
      <c r="G184" s="71" t="str">
        <f t="shared" si="24"/>
        <v/>
      </c>
      <c r="AF184" s="77" t="str">
        <f t="shared" si="25"/>
        <v/>
      </c>
      <c r="AG184" s="82" t="str">
        <f>IF(OR(AA184="",AA184="Grand Total"),"",VLOOKUP(AA184,'Team Details'!B:C,2,0))</f>
        <v/>
      </c>
      <c r="AH184" s="81" t="str">
        <f>IF(OR(AA184="",AA184="Grand Total"),"",(IF(OR('Setup Parameters'!$C$6 = "SW Agile",'Setup Parameters'!$I$6 = "SW Agile"),"Story Point","Complexity Point")))</f>
        <v/>
      </c>
      <c r="AI184" s="81" t="str">
        <f t="shared" si="26"/>
        <v/>
      </c>
    </row>
    <row r="185" spans="1:35" x14ac:dyDescent="0.25">
      <c r="A185" s="69" t="str">
        <f t="shared" si="21"/>
        <v/>
      </c>
      <c r="B185" s="70" t="str">
        <f t="shared" si="18"/>
        <v/>
      </c>
      <c r="C185" s="71" t="str">
        <f t="shared" si="19"/>
        <v/>
      </c>
      <c r="D185" s="71" t="str">
        <f t="shared" si="20"/>
        <v/>
      </c>
      <c r="E185" s="71" t="str">
        <f t="shared" si="22"/>
        <v/>
      </c>
      <c r="F185" s="71" t="str">
        <f t="shared" si="23"/>
        <v/>
      </c>
      <c r="G185" s="71" t="str">
        <f t="shared" si="24"/>
        <v/>
      </c>
      <c r="AF185" s="77" t="str">
        <f t="shared" si="25"/>
        <v/>
      </c>
      <c r="AG185" s="82" t="str">
        <f>IF(OR(AA185="",AA185="Grand Total"),"",VLOOKUP(AA185,'Team Details'!B:C,2,0))</f>
        <v/>
      </c>
      <c r="AH185" s="81" t="str">
        <f>IF(OR(AA185="",AA185="Grand Total"),"",(IF(OR('Setup Parameters'!$C$6 = "SW Agile",'Setup Parameters'!$I$6 = "SW Agile"),"Story Point","Complexity Point")))</f>
        <v/>
      </c>
      <c r="AI185" s="81" t="str">
        <f t="shared" si="26"/>
        <v/>
      </c>
    </row>
    <row r="186" spans="1:35" x14ac:dyDescent="0.25">
      <c r="A186" s="69" t="str">
        <f t="shared" si="21"/>
        <v/>
      </c>
      <c r="B186" s="70" t="str">
        <f t="shared" si="18"/>
        <v/>
      </c>
      <c r="C186" s="71" t="str">
        <f t="shared" si="19"/>
        <v/>
      </c>
      <c r="D186" s="71" t="str">
        <f t="shared" si="20"/>
        <v/>
      </c>
      <c r="E186" s="71" t="str">
        <f t="shared" si="22"/>
        <v/>
      </c>
      <c r="F186" s="71" t="str">
        <f t="shared" si="23"/>
        <v/>
      </c>
      <c r="G186" s="71" t="str">
        <f t="shared" si="24"/>
        <v/>
      </c>
      <c r="AF186" s="77" t="str">
        <f t="shared" si="25"/>
        <v/>
      </c>
      <c r="AG186" s="82" t="str">
        <f>IF(OR(AA186="",AA186="Grand Total"),"",VLOOKUP(AA186,'Team Details'!B:C,2,0))</f>
        <v/>
      </c>
      <c r="AH186" s="81" t="str">
        <f>IF(OR(AA186="",AA186="Grand Total"),"",(IF(OR('Setup Parameters'!$C$6 = "SW Agile",'Setup Parameters'!$I$6 = "SW Agile"),"Story Point","Complexity Point")))</f>
        <v/>
      </c>
      <c r="AI186" s="81" t="str">
        <f t="shared" si="26"/>
        <v/>
      </c>
    </row>
    <row r="187" spans="1:35" x14ac:dyDescent="0.25">
      <c r="A187" s="69" t="str">
        <f t="shared" si="21"/>
        <v/>
      </c>
      <c r="B187" s="70" t="str">
        <f t="shared" si="18"/>
        <v/>
      </c>
      <c r="C187" s="71" t="str">
        <f t="shared" si="19"/>
        <v/>
      </c>
      <c r="D187" s="71" t="str">
        <f t="shared" si="20"/>
        <v/>
      </c>
      <c r="E187" s="71" t="str">
        <f t="shared" si="22"/>
        <v/>
      </c>
      <c r="F187" s="71" t="str">
        <f t="shared" si="23"/>
        <v/>
      </c>
      <c r="G187" s="71" t="str">
        <f t="shared" si="24"/>
        <v/>
      </c>
      <c r="AF187" s="77" t="str">
        <f t="shared" si="25"/>
        <v/>
      </c>
      <c r="AG187" s="82" t="str">
        <f>IF(OR(AA187="",AA187="Grand Total"),"",VLOOKUP(AA187,'Team Details'!B:C,2,0))</f>
        <v/>
      </c>
      <c r="AH187" s="81" t="str">
        <f>IF(OR(AA187="",AA187="Grand Total"),"",(IF(OR('Setup Parameters'!$C$6 = "SW Agile",'Setup Parameters'!$I$6 = "SW Agile"),"Story Point","Complexity Point")))</f>
        <v/>
      </c>
      <c r="AI187" s="81" t="str">
        <f t="shared" si="26"/>
        <v/>
      </c>
    </row>
    <row r="188" spans="1:35" x14ac:dyDescent="0.25">
      <c r="A188" s="69" t="str">
        <f t="shared" si="21"/>
        <v/>
      </c>
      <c r="B188" s="70" t="str">
        <f t="shared" si="18"/>
        <v/>
      </c>
      <c r="C188" s="71" t="str">
        <f t="shared" si="19"/>
        <v/>
      </c>
      <c r="D188" s="71" t="str">
        <f t="shared" si="20"/>
        <v/>
      </c>
      <c r="E188" s="71" t="str">
        <f t="shared" si="22"/>
        <v/>
      </c>
      <c r="F188" s="71" t="str">
        <f t="shared" si="23"/>
        <v/>
      </c>
      <c r="G188" s="71" t="str">
        <f t="shared" si="24"/>
        <v/>
      </c>
      <c r="AF188" s="77" t="str">
        <f t="shared" si="25"/>
        <v/>
      </c>
      <c r="AG188" s="82" t="str">
        <f>IF(OR(AA188="",AA188="Grand Total"),"",VLOOKUP(AA188,'Team Details'!B:C,2,0))</f>
        <v/>
      </c>
      <c r="AH188" s="81" t="str">
        <f>IF(OR(AA188="",AA188="Grand Total"),"",(IF(OR('Setup Parameters'!$C$6 = "SW Agile",'Setup Parameters'!$I$6 = "SW Agile"),"Story Point","Complexity Point")))</f>
        <v/>
      </c>
      <c r="AI188" s="81" t="str">
        <f t="shared" si="26"/>
        <v/>
      </c>
    </row>
    <row r="189" spans="1:35" x14ac:dyDescent="0.25">
      <c r="A189" s="69" t="str">
        <f t="shared" si="21"/>
        <v/>
      </c>
      <c r="B189" s="70" t="str">
        <f t="shared" si="18"/>
        <v/>
      </c>
      <c r="C189" s="71" t="str">
        <f t="shared" si="19"/>
        <v/>
      </c>
      <c r="D189" s="71" t="str">
        <f t="shared" si="20"/>
        <v/>
      </c>
      <c r="E189" s="71" t="str">
        <f t="shared" si="22"/>
        <v/>
      </c>
      <c r="F189" s="71" t="str">
        <f t="shared" si="23"/>
        <v/>
      </c>
      <c r="G189" s="71" t="str">
        <f t="shared" si="24"/>
        <v/>
      </c>
      <c r="AF189" s="77" t="str">
        <f t="shared" si="25"/>
        <v/>
      </c>
      <c r="AG189" s="82" t="str">
        <f>IF(OR(AA189="",AA189="Grand Total"),"",VLOOKUP(AA189,'Team Details'!B:C,2,0))</f>
        <v/>
      </c>
      <c r="AH189" s="81" t="str">
        <f>IF(OR(AA189="",AA189="Grand Total"),"",(IF(OR('Setup Parameters'!$C$6 = "SW Agile",'Setup Parameters'!$I$6 = "SW Agile"),"Story Point","Complexity Point")))</f>
        <v/>
      </c>
      <c r="AI189" s="81" t="str">
        <f t="shared" si="26"/>
        <v/>
      </c>
    </row>
    <row r="190" spans="1:35" x14ac:dyDescent="0.25">
      <c r="A190" s="69" t="str">
        <f t="shared" si="21"/>
        <v/>
      </c>
      <c r="B190" s="70" t="str">
        <f t="shared" si="18"/>
        <v/>
      </c>
      <c r="C190" s="71" t="str">
        <f t="shared" si="19"/>
        <v/>
      </c>
      <c r="D190" s="71" t="str">
        <f t="shared" si="20"/>
        <v/>
      </c>
      <c r="E190" s="71" t="str">
        <f t="shared" si="22"/>
        <v/>
      </c>
      <c r="F190" s="71" t="str">
        <f t="shared" si="23"/>
        <v/>
      </c>
      <c r="G190" s="71" t="str">
        <f t="shared" si="24"/>
        <v/>
      </c>
      <c r="AF190" s="77" t="str">
        <f t="shared" si="25"/>
        <v/>
      </c>
      <c r="AG190" s="82" t="str">
        <f>IF(OR(AA190="",AA190="Grand Total"),"",VLOOKUP(AA190,'Team Details'!B:C,2,0))</f>
        <v/>
      </c>
      <c r="AH190" s="81" t="str">
        <f>IF(OR(AA190="",AA190="Grand Total"),"",(IF(OR('Setup Parameters'!$C$6 = "SW Agile",'Setup Parameters'!$I$6 = "SW Agile"),"Story Point","Complexity Point")))</f>
        <v/>
      </c>
      <c r="AI190" s="81" t="str">
        <f t="shared" si="26"/>
        <v/>
      </c>
    </row>
    <row r="191" spans="1:35" x14ac:dyDescent="0.25">
      <c r="A191" s="69" t="str">
        <f t="shared" si="21"/>
        <v/>
      </c>
      <c r="B191" s="70" t="str">
        <f t="shared" si="18"/>
        <v/>
      </c>
      <c r="C191" s="71" t="str">
        <f t="shared" si="19"/>
        <v/>
      </c>
      <c r="D191" s="71" t="str">
        <f t="shared" si="20"/>
        <v/>
      </c>
      <c r="E191" s="71" t="str">
        <f t="shared" si="22"/>
        <v/>
      </c>
      <c r="F191" s="71" t="str">
        <f t="shared" si="23"/>
        <v/>
      </c>
      <c r="G191" s="71" t="str">
        <f t="shared" si="24"/>
        <v/>
      </c>
      <c r="AF191" s="77" t="str">
        <f t="shared" si="25"/>
        <v/>
      </c>
      <c r="AG191" s="82" t="str">
        <f>IF(OR(AA191="",AA191="Grand Total"),"",VLOOKUP(AA191,'Team Details'!B:C,2,0))</f>
        <v/>
      </c>
      <c r="AH191" s="81" t="str">
        <f>IF(OR(AA191="",AA191="Grand Total"),"",(IF(OR('Setup Parameters'!$C$6 = "SW Agile",'Setup Parameters'!$I$6 = "SW Agile"),"Story Point","Complexity Point")))</f>
        <v/>
      </c>
      <c r="AI191" s="81" t="str">
        <f t="shared" si="26"/>
        <v/>
      </c>
    </row>
    <row r="192" spans="1:35" x14ac:dyDescent="0.25">
      <c r="A192" s="69" t="str">
        <f t="shared" si="21"/>
        <v/>
      </c>
      <c r="B192" s="70" t="str">
        <f t="shared" si="18"/>
        <v/>
      </c>
      <c r="C192" s="71" t="str">
        <f t="shared" si="19"/>
        <v/>
      </c>
      <c r="D192" s="71" t="str">
        <f t="shared" si="20"/>
        <v/>
      </c>
      <c r="E192" s="71" t="str">
        <f t="shared" si="22"/>
        <v/>
      </c>
      <c r="F192" s="71" t="str">
        <f t="shared" si="23"/>
        <v/>
      </c>
      <c r="G192" s="71" t="str">
        <f t="shared" si="24"/>
        <v/>
      </c>
      <c r="AF192" s="77" t="str">
        <f t="shared" si="25"/>
        <v/>
      </c>
      <c r="AG192" s="82" t="str">
        <f>IF(OR(AA192="",AA192="Grand Total"),"",VLOOKUP(AA192,'Team Details'!B:C,2,0))</f>
        <v/>
      </c>
      <c r="AH192" s="81" t="str">
        <f>IF(OR(AA192="",AA192="Grand Total"),"",(IF(OR('Setup Parameters'!$C$6 = "SW Agile",'Setup Parameters'!$I$6 = "SW Agile"),"Story Point","Complexity Point")))</f>
        <v/>
      </c>
      <c r="AI192" s="81" t="str">
        <f t="shared" si="26"/>
        <v/>
      </c>
    </row>
    <row r="193" spans="1:35" x14ac:dyDescent="0.25">
      <c r="A193" s="69" t="str">
        <f t="shared" si="21"/>
        <v/>
      </c>
      <c r="B193" s="70" t="str">
        <f t="shared" si="18"/>
        <v/>
      </c>
      <c r="C193" s="71" t="str">
        <f t="shared" si="19"/>
        <v/>
      </c>
      <c r="D193" s="71" t="str">
        <f t="shared" si="20"/>
        <v/>
      </c>
      <c r="E193" s="71" t="str">
        <f t="shared" si="22"/>
        <v/>
      </c>
      <c r="F193" s="71" t="str">
        <f t="shared" si="23"/>
        <v/>
      </c>
      <c r="G193" s="71" t="str">
        <f t="shared" si="24"/>
        <v/>
      </c>
      <c r="AF193" s="77" t="str">
        <f t="shared" si="25"/>
        <v/>
      </c>
      <c r="AG193" s="82" t="str">
        <f>IF(OR(AA193="",AA193="Grand Total"),"",VLOOKUP(AA193,'Team Details'!B:C,2,0))</f>
        <v/>
      </c>
      <c r="AH193" s="81" t="str">
        <f>IF(OR(AA193="",AA193="Grand Total"),"",(IF(OR('Setup Parameters'!$C$6 = "SW Agile",'Setup Parameters'!$I$6 = "SW Agile"),"Story Point","Complexity Point")))</f>
        <v/>
      </c>
      <c r="AI193" s="81" t="str">
        <f t="shared" si="26"/>
        <v/>
      </c>
    </row>
    <row r="194" spans="1:35" x14ac:dyDescent="0.25">
      <c r="A194" s="69" t="str">
        <f t="shared" si="21"/>
        <v/>
      </c>
      <c r="B194" s="70" t="str">
        <f t="shared" ref="B194:B257" si="27">AG197</f>
        <v/>
      </c>
      <c r="C194" s="71" t="str">
        <f t="shared" ref="C194:C257" si="28">AH197</f>
        <v/>
      </c>
      <c r="D194" s="71" t="str">
        <f t="shared" ref="D194:D257" si="29">AI197</f>
        <v/>
      </c>
      <c r="E194" s="71" t="str">
        <f t="shared" si="22"/>
        <v/>
      </c>
      <c r="F194" s="71" t="str">
        <f t="shared" si="23"/>
        <v/>
      </c>
      <c r="G194" s="71" t="str">
        <f t="shared" si="24"/>
        <v/>
      </c>
      <c r="AF194" s="77" t="str">
        <f t="shared" si="25"/>
        <v/>
      </c>
      <c r="AG194" s="82" t="str">
        <f>IF(OR(AA194="",AA194="Grand Total"),"",VLOOKUP(AA194,'Team Details'!B:C,2,0))</f>
        <v/>
      </c>
      <c r="AH194" s="81" t="str">
        <f>IF(OR(AA194="",AA194="Grand Total"),"",(IF(OR('Setup Parameters'!$C$6 = "SW Agile",'Setup Parameters'!$I$6 = "SW Agile"),"Story Point","Complexity Point")))</f>
        <v/>
      </c>
      <c r="AI194" s="81" t="str">
        <f t="shared" si="26"/>
        <v/>
      </c>
    </row>
    <row r="195" spans="1:35" x14ac:dyDescent="0.25">
      <c r="A195" s="69" t="str">
        <f t="shared" ref="A195:A258" si="30">IF(AF198="","",AF198)</f>
        <v/>
      </c>
      <c r="B195" s="70" t="str">
        <f t="shared" si="27"/>
        <v/>
      </c>
      <c r="C195" s="71" t="str">
        <f t="shared" si="28"/>
        <v/>
      </c>
      <c r="D195" s="71" t="str">
        <f t="shared" si="29"/>
        <v/>
      </c>
      <c r="E195" s="71" t="str">
        <f t="shared" ref="E195:E258" si="31">IF(AB198="","",AB198)</f>
        <v/>
      </c>
      <c r="F195" s="71" t="str">
        <f t="shared" ref="F195:F258" si="32">IF(AC198="","",AC198)</f>
        <v/>
      </c>
      <c r="G195" s="71" t="str">
        <f t="shared" ref="G195:G258" si="33">IF(AD198="","",AD198)</f>
        <v/>
      </c>
      <c r="AF195" s="77" t="str">
        <f t="shared" si="25"/>
        <v/>
      </c>
      <c r="AG195" s="82" t="str">
        <f>IF(OR(AA195="",AA195="Grand Total"),"",VLOOKUP(AA195,'Team Details'!B:C,2,0))</f>
        <v/>
      </c>
      <c r="AH195" s="81" t="str">
        <f>IF(OR(AA195="",AA195="Grand Total"),"",(IF(OR('Setup Parameters'!$C$6 = "SW Agile",'Setup Parameters'!$I$6 = "SW Agile"),"Story Point","Complexity Point")))</f>
        <v/>
      </c>
      <c r="AI195" s="81" t="str">
        <f t="shared" si="26"/>
        <v/>
      </c>
    </row>
    <row r="196" spans="1:35" x14ac:dyDescent="0.25">
      <c r="A196" s="69" t="str">
        <f t="shared" si="30"/>
        <v/>
      </c>
      <c r="B196" s="70" t="str">
        <f t="shared" si="27"/>
        <v/>
      </c>
      <c r="C196" s="71" t="str">
        <f t="shared" si="28"/>
        <v/>
      </c>
      <c r="D196" s="71" t="str">
        <f t="shared" si="29"/>
        <v/>
      </c>
      <c r="E196" s="71" t="str">
        <f t="shared" si="31"/>
        <v/>
      </c>
      <c r="F196" s="71" t="str">
        <f t="shared" si="32"/>
        <v/>
      </c>
      <c r="G196" s="71" t="str">
        <f t="shared" si="33"/>
        <v/>
      </c>
      <c r="AF196" s="77" t="str">
        <f t="shared" si="25"/>
        <v/>
      </c>
      <c r="AG196" s="82" t="str">
        <f>IF(OR(AA196="",AA196="Grand Total"),"",VLOOKUP(AA196,'Team Details'!B:C,2,0))</f>
        <v/>
      </c>
      <c r="AH196" s="81" t="str">
        <f>IF(OR(AA196="",AA196="Grand Total"),"",(IF(OR('Setup Parameters'!$C$6 = "SW Agile",'Setup Parameters'!$I$6 = "SW Agile"),"Story Point","Complexity Point")))</f>
        <v/>
      </c>
      <c r="AI196" s="81" t="str">
        <f t="shared" si="26"/>
        <v/>
      </c>
    </row>
    <row r="197" spans="1:35" x14ac:dyDescent="0.25">
      <c r="A197" s="69" t="str">
        <f t="shared" si="30"/>
        <v/>
      </c>
      <c r="B197" s="70" t="str">
        <f t="shared" si="27"/>
        <v/>
      </c>
      <c r="C197" s="71" t="str">
        <f t="shared" si="28"/>
        <v/>
      </c>
      <c r="D197" s="71" t="str">
        <f t="shared" si="29"/>
        <v/>
      </c>
      <c r="E197" s="71" t="str">
        <f t="shared" si="31"/>
        <v/>
      </c>
      <c r="F197" s="71" t="str">
        <f t="shared" si="32"/>
        <v/>
      </c>
      <c r="G197" s="71" t="str">
        <f t="shared" si="33"/>
        <v/>
      </c>
      <c r="AF197" s="77" t="str">
        <f t="shared" si="25"/>
        <v/>
      </c>
      <c r="AG197" s="82" t="str">
        <f>IF(OR(AA197="",AA197="Grand Total"),"",VLOOKUP(AA197,'Team Details'!B:C,2,0))</f>
        <v/>
      </c>
      <c r="AH197" s="81" t="str">
        <f>IF(OR(AA197="",AA197="Grand Total"),"",(IF(OR('Setup Parameters'!$C$6 = "SW Agile",'Setup Parameters'!$I$6 = "SW Agile"),"Story Point","Complexity Point")))</f>
        <v/>
      </c>
      <c r="AI197" s="81" t="str">
        <f t="shared" si="26"/>
        <v/>
      </c>
    </row>
    <row r="198" spans="1:35" x14ac:dyDescent="0.25">
      <c r="A198" s="69" t="str">
        <f t="shared" si="30"/>
        <v/>
      </c>
      <c r="B198" s="70" t="str">
        <f t="shared" si="27"/>
        <v/>
      </c>
      <c r="C198" s="71" t="str">
        <f t="shared" si="28"/>
        <v/>
      </c>
      <c r="D198" s="71" t="str">
        <f t="shared" si="29"/>
        <v/>
      </c>
      <c r="E198" s="71" t="str">
        <f t="shared" si="31"/>
        <v/>
      </c>
      <c r="F198" s="71" t="str">
        <f t="shared" si="32"/>
        <v/>
      </c>
      <c r="G198" s="71" t="str">
        <f t="shared" si="33"/>
        <v/>
      </c>
      <c r="AF198" s="77" t="str">
        <f t="shared" ref="AF198:AF261" si="34">IF(Z198="","",$Z198)</f>
        <v/>
      </c>
      <c r="AG198" s="82" t="str">
        <f>IF(OR(AA198="",AA198="Grand Total"),"",VLOOKUP(AA198,'Team Details'!B:C,2,0))</f>
        <v/>
      </c>
      <c r="AH198" s="81" t="str">
        <f>IF(OR(AA198="",AA198="Grand Total"),"",(IF(OR('Setup Parameters'!$C$6 = "SW Agile",'Setup Parameters'!$I$6 = "SW Agile"),"Story Point","Complexity Point")))</f>
        <v/>
      </c>
      <c r="AI198" s="81" t="str">
        <f t="shared" ref="AI198:AI261" si="35">IF(AH198="","",IF(AH198="Story Point","SP/PH","CP/PH"))</f>
        <v/>
      </c>
    </row>
    <row r="199" spans="1:35" x14ac:dyDescent="0.25">
      <c r="A199" s="69" t="str">
        <f t="shared" si="30"/>
        <v/>
      </c>
      <c r="B199" s="70" t="str">
        <f t="shared" si="27"/>
        <v/>
      </c>
      <c r="C199" s="71" t="str">
        <f t="shared" si="28"/>
        <v/>
      </c>
      <c r="D199" s="71" t="str">
        <f t="shared" si="29"/>
        <v/>
      </c>
      <c r="E199" s="71" t="str">
        <f t="shared" si="31"/>
        <v/>
      </c>
      <c r="F199" s="71" t="str">
        <f t="shared" si="32"/>
        <v/>
      </c>
      <c r="G199" s="71" t="str">
        <f t="shared" si="33"/>
        <v/>
      </c>
      <c r="AF199" s="77" t="str">
        <f t="shared" si="34"/>
        <v/>
      </c>
      <c r="AG199" s="82" t="str">
        <f>IF(OR(AA199="",AA199="Grand Total"),"",VLOOKUP(AA199,'Team Details'!B:C,2,0))</f>
        <v/>
      </c>
      <c r="AH199" s="81" t="str">
        <f>IF(OR(AA199="",AA199="Grand Total"),"",(IF(OR('Setup Parameters'!$C$6 = "SW Agile",'Setup Parameters'!$I$6 = "SW Agile"),"Story Point","Complexity Point")))</f>
        <v/>
      </c>
      <c r="AI199" s="81" t="str">
        <f t="shared" si="35"/>
        <v/>
      </c>
    </row>
    <row r="200" spans="1:35" x14ac:dyDescent="0.25">
      <c r="A200" s="69" t="str">
        <f t="shared" si="30"/>
        <v/>
      </c>
      <c r="B200" s="70" t="str">
        <f t="shared" si="27"/>
        <v/>
      </c>
      <c r="C200" s="71" t="str">
        <f t="shared" si="28"/>
        <v/>
      </c>
      <c r="D200" s="71" t="str">
        <f t="shared" si="29"/>
        <v/>
      </c>
      <c r="E200" s="71" t="str">
        <f t="shared" si="31"/>
        <v/>
      </c>
      <c r="F200" s="71" t="str">
        <f t="shared" si="32"/>
        <v/>
      </c>
      <c r="G200" s="71" t="str">
        <f t="shared" si="33"/>
        <v/>
      </c>
      <c r="AF200" s="77" t="str">
        <f t="shared" si="34"/>
        <v/>
      </c>
      <c r="AG200" s="82" t="str">
        <f>IF(OR(AA200="",AA200="Grand Total"),"",VLOOKUP(AA200,'Team Details'!B:C,2,0))</f>
        <v/>
      </c>
      <c r="AH200" s="81" t="str">
        <f>IF(OR(AA200="",AA200="Grand Total"),"",(IF(OR('Setup Parameters'!$C$6 = "SW Agile",'Setup Parameters'!$I$6 = "SW Agile"),"Story Point","Complexity Point")))</f>
        <v/>
      </c>
      <c r="AI200" s="81" t="str">
        <f t="shared" si="35"/>
        <v/>
      </c>
    </row>
    <row r="201" spans="1:35" x14ac:dyDescent="0.25">
      <c r="A201" s="69" t="str">
        <f t="shared" si="30"/>
        <v/>
      </c>
      <c r="B201" s="70" t="str">
        <f t="shared" si="27"/>
        <v/>
      </c>
      <c r="C201" s="71" t="str">
        <f t="shared" si="28"/>
        <v/>
      </c>
      <c r="D201" s="71" t="str">
        <f t="shared" si="29"/>
        <v/>
      </c>
      <c r="E201" s="71" t="str">
        <f t="shared" si="31"/>
        <v/>
      </c>
      <c r="F201" s="71" t="str">
        <f t="shared" si="32"/>
        <v/>
      </c>
      <c r="G201" s="71" t="str">
        <f t="shared" si="33"/>
        <v/>
      </c>
      <c r="AF201" s="77" t="str">
        <f t="shared" si="34"/>
        <v/>
      </c>
      <c r="AG201" s="82" t="str">
        <f>IF(OR(AA201="",AA201="Grand Total"),"",VLOOKUP(AA201,'Team Details'!B:C,2,0))</f>
        <v/>
      </c>
      <c r="AH201" s="81" t="str">
        <f>IF(OR(AA201="",AA201="Grand Total"),"",(IF(OR('Setup Parameters'!$C$6 = "SW Agile",'Setup Parameters'!$I$6 = "SW Agile"),"Story Point","Complexity Point")))</f>
        <v/>
      </c>
      <c r="AI201" s="81" t="str">
        <f t="shared" si="35"/>
        <v/>
      </c>
    </row>
    <row r="202" spans="1:35" x14ac:dyDescent="0.25">
      <c r="A202" s="69" t="str">
        <f t="shared" si="30"/>
        <v/>
      </c>
      <c r="B202" s="70" t="str">
        <f t="shared" si="27"/>
        <v/>
      </c>
      <c r="C202" s="71" t="str">
        <f t="shared" si="28"/>
        <v/>
      </c>
      <c r="D202" s="71" t="str">
        <f t="shared" si="29"/>
        <v/>
      </c>
      <c r="E202" s="71" t="str">
        <f t="shared" si="31"/>
        <v/>
      </c>
      <c r="F202" s="71" t="str">
        <f t="shared" si="32"/>
        <v/>
      </c>
      <c r="G202" s="71" t="str">
        <f t="shared" si="33"/>
        <v/>
      </c>
      <c r="AF202" s="77" t="str">
        <f t="shared" si="34"/>
        <v/>
      </c>
      <c r="AG202" s="82" t="str">
        <f>IF(OR(AA202="",AA202="Grand Total"),"",VLOOKUP(AA202,'Team Details'!B:C,2,0))</f>
        <v/>
      </c>
      <c r="AH202" s="81" t="str">
        <f>IF(OR(AA202="",AA202="Grand Total"),"",(IF(OR('Setup Parameters'!$C$6 = "SW Agile",'Setup Parameters'!$I$6 = "SW Agile"),"Story Point","Complexity Point")))</f>
        <v/>
      </c>
      <c r="AI202" s="81" t="str">
        <f t="shared" si="35"/>
        <v/>
      </c>
    </row>
    <row r="203" spans="1:35" x14ac:dyDescent="0.25">
      <c r="A203" s="69" t="str">
        <f t="shared" si="30"/>
        <v/>
      </c>
      <c r="B203" s="70" t="str">
        <f t="shared" si="27"/>
        <v/>
      </c>
      <c r="C203" s="71" t="str">
        <f t="shared" si="28"/>
        <v/>
      </c>
      <c r="D203" s="71" t="str">
        <f t="shared" si="29"/>
        <v/>
      </c>
      <c r="E203" s="71" t="str">
        <f t="shared" si="31"/>
        <v/>
      </c>
      <c r="F203" s="71" t="str">
        <f t="shared" si="32"/>
        <v/>
      </c>
      <c r="G203" s="71" t="str">
        <f t="shared" si="33"/>
        <v/>
      </c>
      <c r="AF203" s="77" t="str">
        <f t="shared" si="34"/>
        <v/>
      </c>
      <c r="AG203" s="82" t="str">
        <f>IF(OR(AA203="",AA203="Grand Total"),"",VLOOKUP(AA203,'Team Details'!B:C,2,0))</f>
        <v/>
      </c>
      <c r="AH203" s="81" t="str">
        <f>IF(OR(AA203="",AA203="Grand Total"),"",(IF(OR('Setup Parameters'!$C$6 = "SW Agile",'Setup Parameters'!$I$6 = "SW Agile"),"Story Point","Complexity Point")))</f>
        <v/>
      </c>
      <c r="AI203" s="81" t="str">
        <f t="shared" si="35"/>
        <v/>
      </c>
    </row>
    <row r="204" spans="1:35" x14ac:dyDescent="0.25">
      <c r="A204" s="69" t="str">
        <f t="shared" si="30"/>
        <v/>
      </c>
      <c r="B204" s="70" t="str">
        <f t="shared" si="27"/>
        <v/>
      </c>
      <c r="C204" s="71" t="str">
        <f t="shared" si="28"/>
        <v/>
      </c>
      <c r="D204" s="71" t="str">
        <f t="shared" si="29"/>
        <v/>
      </c>
      <c r="E204" s="71" t="str">
        <f t="shared" si="31"/>
        <v/>
      </c>
      <c r="F204" s="71" t="str">
        <f t="shared" si="32"/>
        <v/>
      </c>
      <c r="G204" s="71" t="str">
        <f t="shared" si="33"/>
        <v/>
      </c>
      <c r="AF204" s="77" t="str">
        <f t="shared" si="34"/>
        <v/>
      </c>
      <c r="AG204" s="82" t="str">
        <f>IF(OR(AA204="",AA204="Grand Total"),"",VLOOKUP(AA204,'Team Details'!B:C,2,0))</f>
        <v/>
      </c>
      <c r="AH204" s="81" t="str">
        <f>IF(OR(AA204="",AA204="Grand Total"),"",(IF(OR('Setup Parameters'!$C$6 = "SW Agile",'Setup Parameters'!$I$6 = "SW Agile"),"Story Point","Complexity Point")))</f>
        <v/>
      </c>
      <c r="AI204" s="81" t="str">
        <f t="shared" si="35"/>
        <v/>
      </c>
    </row>
    <row r="205" spans="1:35" x14ac:dyDescent="0.25">
      <c r="A205" s="69" t="str">
        <f t="shared" si="30"/>
        <v/>
      </c>
      <c r="B205" s="70" t="str">
        <f t="shared" si="27"/>
        <v/>
      </c>
      <c r="C205" s="71" t="str">
        <f t="shared" si="28"/>
        <v/>
      </c>
      <c r="D205" s="71" t="str">
        <f t="shared" si="29"/>
        <v/>
      </c>
      <c r="E205" s="71" t="str">
        <f t="shared" si="31"/>
        <v/>
      </c>
      <c r="F205" s="71" t="str">
        <f t="shared" si="32"/>
        <v/>
      </c>
      <c r="G205" s="71" t="str">
        <f t="shared" si="33"/>
        <v/>
      </c>
      <c r="AF205" s="77" t="str">
        <f t="shared" si="34"/>
        <v/>
      </c>
      <c r="AG205" s="82" t="str">
        <f>IF(OR(AA205="",AA205="Grand Total"),"",VLOOKUP(AA205,'Team Details'!B:C,2,0))</f>
        <v/>
      </c>
      <c r="AH205" s="81" t="str">
        <f>IF(OR(AA205="",AA205="Grand Total"),"",(IF(OR('Setup Parameters'!$C$6 = "SW Agile",'Setup Parameters'!$I$6 = "SW Agile"),"Story Point","Complexity Point")))</f>
        <v/>
      </c>
      <c r="AI205" s="81" t="str">
        <f t="shared" si="35"/>
        <v/>
      </c>
    </row>
    <row r="206" spans="1:35" x14ac:dyDescent="0.25">
      <c r="A206" s="69" t="str">
        <f t="shared" si="30"/>
        <v/>
      </c>
      <c r="B206" s="70" t="str">
        <f t="shared" si="27"/>
        <v/>
      </c>
      <c r="C206" s="71" t="str">
        <f t="shared" si="28"/>
        <v/>
      </c>
      <c r="D206" s="71" t="str">
        <f t="shared" si="29"/>
        <v/>
      </c>
      <c r="E206" s="71" t="str">
        <f t="shared" si="31"/>
        <v/>
      </c>
      <c r="F206" s="71" t="str">
        <f t="shared" si="32"/>
        <v/>
      </c>
      <c r="G206" s="71" t="str">
        <f t="shared" si="33"/>
        <v/>
      </c>
      <c r="AF206" s="77" t="str">
        <f t="shared" si="34"/>
        <v/>
      </c>
      <c r="AG206" s="82" t="str">
        <f>IF(OR(AA206="",AA206="Grand Total"),"",VLOOKUP(AA206,'Team Details'!B:C,2,0))</f>
        <v/>
      </c>
      <c r="AH206" s="81" t="str">
        <f>IF(OR(AA206="",AA206="Grand Total"),"",(IF(OR('Setup Parameters'!$C$6 = "SW Agile",'Setup Parameters'!$I$6 = "SW Agile"),"Story Point","Complexity Point")))</f>
        <v/>
      </c>
      <c r="AI206" s="81" t="str">
        <f t="shared" si="35"/>
        <v/>
      </c>
    </row>
    <row r="207" spans="1:35" x14ac:dyDescent="0.25">
      <c r="A207" s="69" t="str">
        <f t="shared" si="30"/>
        <v/>
      </c>
      <c r="B207" s="70" t="str">
        <f t="shared" si="27"/>
        <v/>
      </c>
      <c r="C207" s="71" t="str">
        <f t="shared" si="28"/>
        <v/>
      </c>
      <c r="D207" s="71" t="str">
        <f t="shared" si="29"/>
        <v/>
      </c>
      <c r="E207" s="71" t="str">
        <f t="shared" si="31"/>
        <v/>
      </c>
      <c r="F207" s="71" t="str">
        <f t="shared" si="32"/>
        <v/>
      </c>
      <c r="G207" s="71" t="str">
        <f t="shared" si="33"/>
        <v/>
      </c>
      <c r="AF207" s="77" t="str">
        <f t="shared" si="34"/>
        <v/>
      </c>
      <c r="AG207" s="82" t="str">
        <f>IF(OR(AA207="",AA207="Grand Total"),"",VLOOKUP(AA207,'Team Details'!B:C,2,0))</f>
        <v/>
      </c>
      <c r="AH207" s="81" t="str">
        <f>IF(OR(AA207="",AA207="Grand Total"),"",(IF(OR('Setup Parameters'!$C$6 = "SW Agile",'Setup Parameters'!$I$6 = "SW Agile"),"Story Point","Complexity Point")))</f>
        <v/>
      </c>
      <c r="AI207" s="81" t="str">
        <f t="shared" si="35"/>
        <v/>
      </c>
    </row>
    <row r="208" spans="1:35" x14ac:dyDescent="0.25">
      <c r="A208" s="69" t="str">
        <f t="shared" si="30"/>
        <v/>
      </c>
      <c r="B208" s="70" t="str">
        <f t="shared" si="27"/>
        <v/>
      </c>
      <c r="C208" s="71" t="str">
        <f t="shared" si="28"/>
        <v/>
      </c>
      <c r="D208" s="71" t="str">
        <f t="shared" si="29"/>
        <v/>
      </c>
      <c r="E208" s="71" t="str">
        <f t="shared" si="31"/>
        <v/>
      </c>
      <c r="F208" s="71" t="str">
        <f t="shared" si="32"/>
        <v/>
      </c>
      <c r="G208" s="71" t="str">
        <f t="shared" si="33"/>
        <v/>
      </c>
      <c r="AF208" s="77" t="str">
        <f t="shared" si="34"/>
        <v/>
      </c>
      <c r="AG208" s="82" t="str">
        <f>IF(OR(AA208="",AA208="Grand Total"),"",VLOOKUP(AA208,'Team Details'!B:C,2,0))</f>
        <v/>
      </c>
      <c r="AH208" s="81" t="str">
        <f>IF(OR(AA208="",AA208="Grand Total"),"",(IF(OR('Setup Parameters'!$C$6 = "SW Agile",'Setup Parameters'!$I$6 = "SW Agile"),"Story Point","Complexity Point")))</f>
        <v/>
      </c>
      <c r="AI208" s="81" t="str">
        <f t="shared" si="35"/>
        <v/>
      </c>
    </row>
    <row r="209" spans="1:35" x14ac:dyDescent="0.25">
      <c r="A209" s="69" t="str">
        <f t="shared" si="30"/>
        <v/>
      </c>
      <c r="B209" s="70" t="str">
        <f t="shared" si="27"/>
        <v/>
      </c>
      <c r="C209" s="71" t="str">
        <f t="shared" si="28"/>
        <v/>
      </c>
      <c r="D209" s="71" t="str">
        <f t="shared" si="29"/>
        <v/>
      </c>
      <c r="E209" s="71" t="str">
        <f t="shared" si="31"/>
        <v/>
      </c>
      <c r="F209" s="71" t="str">
        <f t="shared" si="32"/>
        <v/>
      </c>
      <c r="G209" s="71" t="str">
        <f t="shared" si="33"/>
        <v/>
      </c>
      <c r="AF209" s="77" t="str">
        <f t="shared" si="34"/>
        <v/>
      </c>
      <c r="AG209" s="82" t="str">
        <f>IF(OR(AA209="",AA209="Grand Total"),"",VLOOKUP(AA209,'Team Details'!B:C,2,0))</f>
        <v/>
      </c>
      <c r="AH209" s="81" t="str">
        <f>IF(OR(AA209="",AA209="Grand Total"),"",(IF(OR('Setup Parameters'!$C$6 = "SW Agile",'Setup Parameters'!$I$6 = "SW Agile"),"Story Point","Complexity Point")))</f>
        <v/>
      </c>
      <c r="AI209" s="81" t="str">
        <f t="shared" si="35"/>
        <v/>
      </c>
    </row>
    <row r="210" spans="1:35" x14ac:dyDescent="0.25">
      <c r="A210" s="69" t="str">
        <f t="shared" si="30"/>
        <v/>
      </c>
      <c r="B210" s="70" t="str">
        <f t="shared" si="27"/>
        <v/>
      </c>
      <c r="C210" s="71" t="str">
        <f t="shared" si="28"/>
        <v/>
      </c>
      <c r="D210" s="71" t="str">
        <f t="shared" si="29"/>
        <v/>
      </c>
      <c r="E210" s="71" t="str">
        <f t="shared" si="31"/>
        <v/>
      </c>
      <c r="F210" s="71" t="str">
        <f t="shared" si="32"/>
        <v/>
      </c>
      <c r="G210" s="71" t="str">
        <f t="shared" si="33"/>
        <v/>
      </c>
      <c r="AF210" s="77" t="str">
        <f t="shared" si="34"/>
        <v/>
      </c>
      <c r="AG210" s="82" t="str">
        <f>IF(OR(AA210="",AA210="Grand Total"),"",VLOOKUP(AA210,'Team Details'!B:C,2,0))</f>
        <v/>
      </c>
      <c r="AH210" s="81" t="str">
        <f>IF(OR(AA210="",AA210="Grand Total"),"",(IF(OR('Setup Parameters'!$C$6 = "SW Agile",'Setup Parameters'!$I$6 = "SW Agile"),"Story Point","Complexity Point")))</f>
        <v/>
      </c>
      <c r="AI210" s="81" t="str">
        <f t="shared" si="35"/>
        <v/>
      </c>
    </row>
    <row r="211" spans="1:35" x14ac:dyDescent="0.25">
      <c r="A211" s="69" t="str">
        <f t="shared" si="30"/>
        <v/>
      </c>
      <c r="B211" s="70" t="str">
        <f t="shared" si="27"/>
        <v/>
      </c>
      <c r="C211" s="71" t="str">
        <f t="shared" si="28"/>
        <v/>
      </c>
      <c r="D211" s="71" t="str">
        <f t="shared" si="29"/>
        <v/>
      </c>
      <c r="E211" s="71" t="str">
        <f t="shared" si="31"/>
        <v/>
      </c>
      <c r="F211" s="71" t="str">
        <f t="shared" si="32"/>
        <v/>
      </c>
      <c r="G211" s="71" t="str">
        <f t="shared" si="33"/>
        <v/>
      </c>
      <c r="AF211" s="77" t="str">
        <f t="shared" si="34"/>
        <v/>
      </c>
      <c r="AG211" s="82" t="str">
        <f>IF(OR(AA211="",AA211="Grand Total"),"",VLOOKUP(AA211,'Team Details'!B:C,2,0))</f>
        <v/>
      </c>
      <c r="AH211" s="81" t="str">
        <f>IF(OR(AA211="",AA211="Grand Total"),"",(IF(OR('Setup Parameters'!$C$6 = "SW Agile",'Setup Parameters'!$I$6 = "SW Agile"),"Story Point","Complexity Point")))</f>
        <v/>
      </c>
      <c r="AI211" s="81" t="str">
        <f t="shared" si="35"/>
        <v/>
      </c>
    </row>
    <row r="212" spans="1:35" x14ac:dyDescent="0.25">
      <c r="A212" s="69" t="str">
        <f t="shared" si="30"/>
        <v/>
      </c>
      <c r="B212" s="70" t="str">
        <f t="shared" si="27"/>
        <v/>
      </c>
      <c r="C212" s="71" t="str">
        <f t="shared" si="28"/>
        <v/>
      </c>
      <c r="D212" s="71" t="str">
        <f t="shared" si="29"/>
        <v/>
      </c>
      <c r="E212" s="71" t="str">
        <f t="shared" si="31"/>
        <v/>
      </c>
      <c r="F212" s="71" t="str">
        <f t="shared" si="32"/>
        <v/>
      </c>
      <c r="G212" s="71" t="str">
        <f t="shared" si="33"/>
        <v/>
      </c>
      <c r="AF212" s="77" t="str">
        <f t="shared" si="34"/>
        <v/>
      </c>
      <c r="AG212" s="82" t="str">
        <f>IF(OR(AA212="",AA212="Grand Total"),"",VLOOKUP(AA212,'Team Details'!B:C,2,0))</f>
        <v/>
      </c>
      <c r="AH212" s="81" t="str">
        <f>IF(OR(AA212="",AA212="Grand Total"),"",(IF(OR('Setup Parameters'!$C$6 = "SW Agile",'Setup Parameters'!$I$6 = "SW Agile"),"Story Point","Complexity Point")))</f>
        <v/>
      </c>
      <c r="AI212" s="81" t="str">
        <f t="shared" si="35"/>
        <v/>
      </c>
    </row>
    <row r="213" spans="1:35" x14ac:dyDescent="0.25">
      <c r="A213" s="69" t="str">
        <f t="shared" si="30"/>
        <v/>
      </c>
      <c r="B213" s="70" t="str">
        <f t="shared" si="27"/>
        <v/>
      </c>
      <c r="C213" s="71" t="str">
        <f t="shared" si="28"/>
        <v/>
      </c>
      <c r="D213" s="71" t="str">
        <f t="shared" si="29"/>
        <v/>
      </c>
      <c r="E213" s="71" t="str">
        <f t="shared" si="31"/>
        <v/>
      </c>
      <c r="F213" s="71" t="str">
        <f t="shared" si="32"/>
        <v/>
      </c>
      <c r="G213" s="71" t="str">
        <f t="shared" si="33"/>
        <v/>
      </c>
      <c r="AF213" s="77" t="str">
        <f t="shared" si="34"/>
        <v/>
      </c>
      <c r="AG213" s="82" t="str">
        <f>IF(OR(AA213="",AA213="Grand Total"),"",VLOOKUP(AA213,'Team Details'!B:C,2,0))</f>
        <v/>
      </c>
      <c r="AH213" s="81" t="str">
        <f>IF(OR(AA213="",AA213="Grand Total"),"",(IF(OR('Setup Parameters'!$C$6 = "SW Agile",'Setup Parameters'!$I$6 = "SW Agile"),"Story Point","Complexity Point")))</f>
        <v/>
      </c>
      <c r="AI213" s="81" t="str">
        <f t="shared" si="35"/>
        <v/>
      </c>
    </row>
    <row r="214" spans="1:35" x14ac:dyDescent="0.25">
      <c r="A214" s="69" t="str">
        <f t="shared" si="30"/>
        <v/>
      </c>
      <c r="B214" s="70" t="str">
        <f t="shared" si="27"/>
        <v/>
      </c>
      <c r="C214" s="71" t="str">
        <f t="shared" si="28"/>
        <v/>
      </c>
      <c r="D214" s="71" t="str">
        <f t="shared" si="29"/>
        <v/>
      </c>
      <c r="E214" s="71" t="str">
        <f t="shared" si="31"/>
        <v/>
      </c>
      <c r="F214" s="71" t="str">
        <f t="shared" si="32"/>
        <v/>
      </c>
      <c r="G214" s="71" t="str">
        <f t="shared" si="33"/>
        <v/>
      </c>
      <c r="AF214" s="77" t="str">
        <f t="shared" si="34"/>
        <v/>
      </c>
      <c r="AG214" s="82" t="str">
        <f>IF(OR(AA214="",AA214="Grand Total"),"",VLOOKUP(AA214,'Team Details'!B:C,2,0))</f>
        <v/>
      </c>
      <c r="AH214" s="81" t="str">
        <f>IF(OR(AA214="",AA214="Grand Total"),"",(IF(OR('Setup Parameters'!$C$6 = "SW Agile",'Setup Parameters'!$I$6 = "SW Agile"),"Story Point","Complexity Point")))</f>
        <v/>
      </c>
      <c r="AI214" s="81" t="str">
        <f t="shared" si="35"/>
        <v/>
      </c>
    </row>
    <row r="215" spans="1:35" x14ac:dyDescent="0.25">
      <c r="A215" s="69" t="str">
        <f t="shared" si="30"/>
        <v/>
      </c>
      <c r="B215" s="70" t="str">
        <f t="shared" si="27"/>
        <v/>
      </c>
      <c r="C215" s="71" t="str">
        <f t="shared" si="28"/>
        <v/>
      </c>
      <c r="D215" s="71" t="str">
        <f t="shared" si="29"/>
        <v/>
      </c>
      <c r="E215" s="71" t="str">
        <f t="shared" si="31"/>
        <v/>
      </c>
      <c r="F215" s="71" t="str">
        <f t="shared" si="32"/>
        <v/>
      </c>
      <c r="G215" s="71" t="str">
        <f t="shared" si="33"/>
        <v/>
      </c>
      <c r="AF215" s="77" t="str">
        <f t="shared" si="34"/>
        <v/>
      </c>
      <c r="AG215" s="82" t="str">
        <f>IF(OR(AA215="",AA215="Grand Total"),"",VLOOKUP(AA215,'Team Details'!B:C,2,0))</f>
        <v/>
      </c>
      <c r="AH215" s="81" t="str">
        <f>IF(OR(AA215="",AA215="Grand Total"),"",(IF(OR('Setup Parameters'!$C$6 = "SW Agile",'Setup Parameters'!$I$6 = "SW Agile"),"Story Point","Complexity Point")))</f>
        <v/>
      </c>
      <c r="AI215" s="81" t="str">
        <f t="shared" si="35"/>
        <v/>
      </c>
    </row>
    <row r="216" spans="1:35" x14ac:dyDescent="0.25">
      <c r="A216" s="69" t="str">
        <f t="shared" si="30"/>
        <v/>
      </c>
      <c r="B216" s="70" t="str">
        <f t="shared" si="27"/>
        <v/>
      </c>
      <c r="C216" s="71" t="str">
        <f t="shared" si="28"/>
        <v/>
      </c>
      <c r="D216" s="71" t="str">
        <f t="shared" si="29"/>
        <v/>
      </c>
      <c r="E216" s="71" t="str">
        <f t="shared" si="31"/>
        <v/>
      </c>
      <c r="F216" s="71" t="str">
        <f t="shared" si="32"/>
        <v/>
      </c>
      <c r="G216" s="71" t="str">
        <f t="shared" si="33"/>
        <v/>
      </c>
      <c r="AF216" s="77" t="str">
        <f t="shared" si="34"/>
        <v/>
      </c>
      <c r="AG216" s="82" t="str">
        <f>IF(OR(AA216="",AA216="Grand Total"),"",VLOOKUP(AA216,'Team Details'!B:C,2,0))</f>
        <v/>
      </c>
      <c r="AH216" s="81" t="str">
        <f>IF(OR(AA216="",AA216="Grand Total"),"",(IF(OR('Setup Parameters'!$C$6 = "SW Agile",'Setup Parameters'!$I$6 = "SW Agile"),"Story Point","Complexity Point")))</f>
        <v/>
      </c>
      <c r="AI216" s="81" t="str">
        <f t="shared" si="35"/>
        <v/>
      </c>
    </row>
    <row r="217" spans="1:35" x14ac:dyDescent="0.25">
      <c r="A217" s="69" t="str">
        <f t="shared" si="30"/>
        <v/>
      </c>
      <c r="B217" s="70" t="str">
        <f t="shared" si="27"/>
        <v/>
      </c>
      <c r="C217" s="71" t="str">
        <f t="shared" si="28"/>
        <v/>
      </c>
      <c r="D217" s="71" t="str">
        <f t="shared" si="29"/>
        <v/>
      </c>
      <c r="E217" s="71" t="str">
        <f t="shared" si="31"/>
        <v/>
      </c>
      <c r="F217" s="71" t="str">
        <f t="shared" si="32"/>
        <v/>
      </c>
      <c r="G217" s="71" t="str">
        <f t="shared" si="33"/>
        <v/>
      </c>
      <c r="AF217" s="77" t="str">
        <f t="shared" si="34"/>
        <v/>
      </c>
      <c r="AG217" s="82" t="str">
        <f>IF(OR(AA217="",AA217="Grand Total"),"",VLOOKUP(AA217,'Team Details'!B:C,2,0))</f>
        <v/>
      </c>
      <c r="AH217" s="81" t="str">
        <f>IF(OR(AA217="",AA217="Grand Total"),"",(IF(OR('Setup Parameters'!$C$6 = "SW Agile",'Setup Parameters'!$I$6 = "SW Agile"),"Story Point","Complexity Point")))</f>
        <v/>
      </c>
      <c r="AI217" s="81" t="str">
        <f t="shared" si="35"/>
        <v/>
      </c>
    </row>
    <row r="218" spans="1:35" x14ac:dyDescent="0.25">
      <c r="A218" s="69" t="str">
        <f t="shared" si="30"/>
        <v/>
      </c>
      <c r="B218" s="70" t="str">
        <f t="shared" si="27"/>
        <v/>
      </c>
      <c r="C218" s="71" t="str">
        <f t="shared" si="28"/>
        <v/>
      </c>
      <c r="D218" s="71" t="str">
        <f t="shared" si="29"/>
        <v/>
      </c>
      <c r="E218" s="71" t="str">
        <f t="shared" si="31"/>
        <v/>
      </c>
      <c r="F218" s="71" t="str">
        <f t="shared" si="32"/>
        <v/>
      </c>
      <c r="G218" s="71" t="str">
        <f t="shared" si="33"/>
        <v/>
      </c>
      <c r="AF218" s="77" t="str">
        <f t="shared" si="34"/>
        <v/>
      </c>
      <c r="AG218" s="82" t="str">
        <f>IF(OR(AA218="",AA218="Grand Total"),"",VLOOKUP(AA218,'Team Details'!B:C,2,0))</f>
        <v/>
      </c>
      <c r="AH218" s="81" t="str">
        <f>IF(OR(AA218="",AA218="Grand Total"),"",(IF(OR('Setup Parameters'!$C$6 = "SW Agile",'Setup Parameters'!$I$6 = "SW Agile"),"Story Point","Complexity Point")))</f>
        <v/>
      </c>
      <c r="AI218" s="81" t="str">
        <f t="shared" si="35"/>
        <v/>
      </c>
    </row>
    <row r="219" spans="1:35" x14ac:dyDescent="0.25">
      <c r="A219" s="69" t="str">
        <f t="shared" si="30"/>
        <v/>
      </c>
      <c r="B219" s="70" t="str">
        <f t="shared" si="27"/>
        <v/>
      </c>
      <c r="C219" s="71" t="str">
        <f t="shared" si="28"/>
        <v/>
      </c>
      <c r="D219" s="71" t="str">
        <f t="shared" si="29"/>
        <v/>
      </c>
      <c r="E219" s="71" t="str">
        <f t="shared" si="31"/>
        <v/>
      </c>
      <c r="F219" s="71" t="str">
        <f t="shared" si="32"/>
        <v/>
      </c>
      <c r="G219" s="71" t="str">
        <f t="shared" si="33"/>
        <v/>
      </c>
      <c r="AF219" s="77" t="str">
        <f t="shared" si="34"/>
        <v/>
      </c>
      <c r="AG219" s="82" t="str">
        <f>IF(OR(AA219="",AA219="Grand Total"),"",VLOOKUP(AA219,'Team Details'!B:C,2,0))</f>
        <v/>
      </c>
      <c r="AH219" s="81" t="str">
        <f>IF(OR(AA219="",AA219="Grand Total"),"",(IF(OR('Setup Parameters'!$C$6 = "SW Agile",'Setup Parameters'!$I$6 = "SW Agile"),"Story Point","Complexity Point")))</f>
        <v/>
      </c>
      <c r="AI219" s="81" t="str">
        <f t="shared" si="35"/>
        <v/>
      </c>
    </row>
    <row r="220" spans="1:35" x14ac:dyDescent="0.25">
      <c r="A220" s="69" t="str">
        <f t="shared" si="30"/>
        <v/>
      </c>
      <c r="B220" s="70" t="str">
        <f t="shared" si="27"/>
        <v/>
      </c>
      <c r="C220" s="71" t="str">
        <f t="shared" si="28"/>
        <v/>
      </c>
      <c r="D220" s="71" t="str">
        <f t="shared" si="29"/>
        <v/>
      </c>
      <c r="E220" s="71" t="str">
        <f t="shared" si="31"/>
        <v/>
      </c>
      <c r="F220" s="71" t="str">
        <f t="shared" si="32"/>
        <v/>
      </c>
      <c r="G220" s="71" t="str">
        <f t="shared" si="33"/>
        <v/>
      </c>
      <c r="AF220" s="77" t="str">
        <f t="shared" si="34"/>
        <v/>
      </c>
      <c r="AG220" s="82" t="str">
        <f>IF(OR(AA220="",AA220="Grand Total"),"",VLOOKUP(AA220,'Team Details'!B:C,2,0))</f>
        <v/>
      </c>
      <c r="AH220" s="81" t="str">
        <f>IF(OR(AA220="",AA220="Grand Total"),"",(IF(OR('Setup Parameters'!$C$6 = "SW Agile",'Setup Parameters'!$I$6 = "SW Agile"),"Story Point","Complexity Point")))</f>
        <v/>
      </c>
      <c r="AI220" s="81" t="str">
        <f t="shared" si="35"/>
        <v/>
      </c>
    </row>
    <row r="221" spans="1:35" x14ac:dyDescent="0.25">
      <c r="A221" s="69" t="str">
        <f t="shared" si="30"/>
        <v/>
      </c>
      <c r="B221" s="70" t="str">
        <f t="shared" si="27"/>
        <v/>
      </c>
      <c r="C221" s="71" t="str">
        <f t="shared" si="28"/>
        <v/>
      </c>
      <c r="D221" s="71" t="str">
        <f t="shared" si="29"/>
        <v/>
      </c>
      <c r="E221" s="71" t="str">
        <f t="shared" si="31"/>
        <v/>
      </c>
      <c r="F221" s="71" t="str">
        <f t="shared" si="32"/>
        <v/>
      </c>
      <c r="G221" s="71" t="str">
        <f t="shared" si="33"/>
        <v/>
      </c>
      <c r="AF221" s="77" t="str">
        <f t="shared" si="34"/>
        <v/>
      </c>
      <c r="AG221" s="82" t="str">
        <f>IF(OR(AA221="",AA221="Grand Total"),"",VLOOKUP(AA221,'Team Details'!B:C,2,0))</f>
        <v/>
      </c>
      <c r="AH221" s="81" t="str">
        <f>IF(OR(AA221="",AA221="Grand Total"),"",(IF(OR('Setup Parameters'!$C$6 = "SW Agile",'Setup Parameters'!$I$6 = "SW Agile"),"Story Point","Complexity Point")))</f>
        <v/>
      </c>
      <c r="AI221" s="81" t="str">
        <f t="shared" si="35"/>
        <v/>
      </c>
    </row>
    <row r="222" spans="1:35" x14ac:dyDescent="0.25">
      <c r="A222" s="69" t="str">
        <f t="shared" si="30"/>
        <v/>
      </c>
      <c r="B222" s="70" t="str">
        <f t="shared" si="27"/>
        <v/>
      </c>
      <c r="C222" s="71" t="str">
        <f t="shared" si="28"/>
        <v/>
      </c>
      <c r="D222" s="71" t="str">
        <f t="shared" si="29"/>
        <v/>
      </c>
      <c r="E222" s="71" t="str">
        <f t="shared" si="31"/>
        <v/>
      </c>
      <c r="F222" s="71" t="str">
        <f t="shared" si="32"/>
        <v/>
      </c>
      <c r="G222" s="71" t="str">
        <f t="shared" si="33"/>
        <v/>
      </c>
      <c r="AF222" s="77" t="str">
        <f t="shared" si="34"/>
        <v/>
      </c>
      <c r="AG222" s="82" t="str">
        <f>IF(OR(AA222="",AA222="Grand Total"),"",VLOOKUP(AA222,'Team Details'!B:C,2,0))</f>
        <v/>
      </c>
      <c r="AH222" s="81" t="str">
        <f>IF(OR(AA222="",AA222="Grand Total"),"",(IF(OR('Setup Parameters'!$C$6 = "SW Agile",'Setup Parameters'!$I$6 = "SW Agile"),"Story Point","Complexity Point")))</f>
        <v/>
      </c>
      <c r="AI222" s="81" t="str">
        <f t="shared" si="35"/>
        <v/>
      </c>
    </row>
    <row r="223" spans="1:35" x14ac:dyDescent="0.25">
      <c r="A223" s="69" t="str">
        <f t="shared" si="30"/>
        <v/>
      </c>
      <c r="B223" s="70" t="str">
        <f t="shared" si="27"/>
        <v/>
      </c>
      <c r="C223" s="71" t="str">
        <f t="shared" si="28"/>
        <v/>
      </c>
      <c r="D223" s="71" t="str">
        <f t="shared" si="29"/>
        <v/>
      </c>
      <c r="E223" s="71" t="str">
        <f t="shared" si="31"/>
        <v/>
      </c>
      <c r="F223" s="71" t="str">
        <f t="shared" si="32"/>
        <v/>
      </c>
      <c r="G223" s="71" t="str">
        <f t="shared" si="33"/>
        <v/>
      </c>
      <c r="AF223" s="77" t="str">
        <f t="shared" si="34"/>
        <v/>
      </c>
      <c r="AG223" s="82" t="str">
        <f>IF(OR(AA223="",AA223="Grand Total"),"",VLOOKUP(AA223,'Team Details'!B:C,2,0))</f>
        <v/>
      </c>
      <c r="AH223" s="81" t="str">
        <f>IF(OR(AA223="",AA223="Grand Total"),"",(IF(OR('Setup Parameters'!$C$6 = "SW Agile",'Setup Parameters'!$I$6 = "SW Agile"),"Story Point","Complexity Point")))</f>
        <v/>
      </c>
      <c r="AI223" s="81" t="str">
        <f t="shared" si="35"/>
        <v/>
      </c>
    </row>
    <row r="224" spans="1:35" x14ac:dyDescent="0.25">
      <c r="A224" s="69" t="str">
        <f t="shared" si="30"/>
        <v/>
      </c>
      <c r="B224" s="70" t="str">
        <f t="shared" si="27"/>
        <v/>
      </c>
      <c r="C224" s="71" t="str">
        <f t="shared" si="28"/>
        <v/>
      </c>
      <c r="D224" s="71" t="str">
        <f t="shared" si="29"/>
        <v/>
      </c>
      <c r="E224" s="71" t="str">
        <f t="shared" si="31"/>
        <v/>
      </c>
      <c r="F224" s="71" t="str">
        <f t="shared" si="32"/>
        <v/>
      </c>
      <c r="G224" s="71" t="str">
        <f t="shared" si="33"/>
        <v/>
      </c>
      <c r="AF224" s="77" t="str">
        <f t="shared" si="34"/>
        <v/>
      </c>
      <c r="AG224" s="82" t="str">
        <f>IF(OR(AA224="",AA224="Grand Total"),"",VLOOKUP(AA224,'Team Details'!B:C,2,0))</f>
        <v/>
      </c>
      <c r="AH224" s="81" t="str">
        <f>IF(OR(AA224="",AA224="Grand Total"),"",(IF(OR('Setup Parameters'!$C$6 = "SW Agile",'Setup Parameters'!$I$6 = "SW Agile"),"Story Point","Complexity Point")))</f>
        <v/>
      </c>
      <c r="AI224" s="81" t="str">
        <f t="shared" si="35"/>
        <v/>
      </c>
    </row>
    <row r="225" spans="1:35" x14ac:dyDescent="0.25">
      <c r="A225" s="69" t="str">
        <f t="shared" si="30"/>
        <v/>
      </c>
      <c r="B225" s="70" t="str">
        <f t="shared" si="27"/>
        <v/>
      </c>
      <c r="C225" s="71" t="str">
        <f t="shared" si="28"/>
        <v/>
      </c>
      <c r="D225" s="71" t="str">
        <f t="shared" si="29"/>
        <v/>
      </c>
      <c r="E225" s="71" t="str">
        <f t="shared" si="31"/>
        <v/>
      </c>
      <c r="F225" s="71" t="str">
        <f t="shared" si="32"/>
        <v/>
      </c>
      <c r="G225" s="71" t="str">
        <f t="shared" si="33"/>
        <v/>
      </c>
      <c r="AF225" s="77" t="str">
        <f t="shared" si="34"/>
        <v/>
      </c>
      <c r="AG225" s="82" t="str">
        <f>IF(OR(AA225="",AA225="Grand Total"),"",VLOOKUP(AA225,'Team Details'!B:C,2,0))</f>
        <v/>
      </c>
      <c r="AH225" s="81" t="str">
        <f>IF(OR(AA225="",AA225="Grand Total"),"",(IF(OR('Setup Parameters'!$C$6 = "SW Agile",'Setup Parameters'!$I$6 = "SW Agile"),"Story Point","Complexity Point")))</f>
        <v/>
      </c>
      <c r="AI225" s="81" t="str">
        <f t="shared" si="35"/>
        <v/>
      </c>
    </row>
    <row r="226" spans="1:35" x14ac:dyDescent="0.25">
      <c r="A226" s="69" t="str">
        <f t="shared" si="30"/>
        <v/>
      </c>
      <c r="B226" s="70" t="str">
        <f t="shared" si="27"/>
        <v/>
      </c>
      <c r="C226" s="71" t="str">
        <f t="shared" si="28"/>
        <v/>
      </c>
      <c r="D226" s="71" t="str">
        <f t="shared" si="29"/>
        <v/>
      </c>
      <c r="E226" s="71" t="str">
        <f t="shared" si="31"/>
        <v/>
      </c>
      <c r="F226" s="71" t="str">
        <f t="shared" si="32"/>
        <v/>
      </c>
      <c r="G226" s="71" t="str">
        <f t="shared" si="33"/>
        <v/>
      </c>
      <c r="AF226" s="77" t="str">
        <f t="shared" si="34"/>
        <v/>
      </c>
      <c r="AG226" s="82" t="str">
        <f>IF(OR(AA226="",AA226="Grand Total"),"",VLOOKUP(AA226,'Team Details'!B:C,2,0))</f>
        <v/>
      </c>
      <c r="AH226" s="81" t="str">
        <f>IF(OR(AA226="",AA226="Grand Total"),"",(IF(OR('Setup Parameters'!$C$6 = "SW Agile",'Setup Parameters'!$I$6 = "SW Agile"),"Story Point","Complexity Point")))</f>
        <v/>
      </c>
      <c r="AI226" s="81" t="str">
        <f t="shared" si="35"/>
        <v/>
      </c>
    </row>
    <row r="227" spans="1:35" x14ac:dyDescent="0.25">
      <c r="A227" s="69" t="str">
        <f t="shared" si="30"/>
        <v/>
      </c>
      <c r="B227" s="70" t="str">
        <f t="shared" si="27"/>
        <v/>
      </c>
      <c r="C227" s="71" t="str">
        <f t="shared" si="28"/>
        <v/>
      </c>
      <c r="D227" s="71" t="str">
        <f t="shared" si="29"/>
        <v/>
      </c>
      <c r="E227" s="71" t="str">
        <f t="shared" si="31"/>
        <v/>
      </c>
      <c r="F227" s="71" t="str">
        <f t="shared" si="32"/>
        <v/>
      </c>
      <c r="G227" s="71" t="str">
        <f t="shared" si="33"/>
        <v/>
      </c>
      <c r="AF227" s="77" t="str">
        <f t="shared" si="34"/>
        <v/>
      </c>
      <c r="AG227" s="82" t="str">
        <f>IF(OR(AA227="",AA227="Grand Total"),"",VLOOKUP(AA227,'Team Details'!B:C,2,0))</f>
        <v/>
      </c>
      <c r="AH227" s="81" t="str">
        <f>IF(OR(AA227="",AA227="Grand Total"),"",(IF(OR('Setup Parameters'!$C$6 = "SW Agile",'Setup Parameters'!$I$6 = "SW Agile"),"Story Point","Complexity Point")))</f>
        <v/>
      </c>
      <c r="AI227" s="81" t="str">
        <f t="shared" si="35"/>
        <v/>
      </c>
    </row>
    <row r="228" spans="1:35" x14ac:dyDescent="0.25">
      <c r="A228" s="69" t="str">
        <f t="shared" si="30"/>
        <v/>
      </c>
      <c r="B228" s="70" t="str">
        <f t="shared" si="27"/>
        <v/>
      </c>
      <c r="C228" s="71" t="str">
        <f t="shared" si="28"/>
        <v/>
      </c>
      <c r="D228" s="71" t="str">
        <f t="shared" si="29"/>
        <v/>
      </c>
      <c r="E228" s="71" t="str">
        <f t="shared" si="31"/>
        <v/>
      </c>
      <c r="F228" s="71" t="str">
        <f t="shared" si="32"/>
        <v/>
      </c>
      <c r="G228" s="71" t="str">
        <f t="shared" si="33"/>
        <v/>
      </c>
      <c r="AF228" s="77" t="str">
        <f t="shared" si="34"/>
        <v/>
      </c>
      <c r="AG228" s="82" t="str">
        <f>IF(OR(AA228="",AA228="Grand Total"),"",VLOOKUP(AA228,'Team Details'!B:C,2,0))</f>
        <v/>
      </c>
      <c r="AH228" s="81" t="str">
        <f>IF(OR(AA228="",AA228="Grand Total"),"",(IF(OR('Setup Parameters'!$C$6 = "SW Agile",'Setup Parameters'!$I$6 = "SW Agile"),"Story Point","Complexity Point")))</f>
        <v/>
      </c>
      <c r="AI228" s="81" t="str">
        <f t="shared" si="35"/>
        <v/>
      </c>
    </row>
    <row r="229" spans="1:35" x14ac:dyDescent="0.25">
      <c r="A229" s="69" t="str">
        <f t="shared" si="30"/>
        <v/>
      </c>
      <c r="B229" s="70" t="str">
        <f t="shared" si="27"/>
        <v/>
      </c>
      <c r="C229" s="71" t="str">
        <f t="shared" si="28"/>
        <v/>
      </c>
      <c r="D229" s="71" t="str">
        <f t="shared" si="29"/>
        <v/>
      </c>
      <c r="E229" s="71" t="str">
        <f t="shared" si="31"/>
        <v/>
      </c>
      <c r="F229" s="71" t="str">
        <f t="shared" si="32"/>
        <v/>
      </c>
      <c r="G229" s="71" t="str">
        <f t="shared" si="33"/>
        <v/>
      </c>
      <c r="AF229" s="77" t="str">
        <f t="shared" si="34"/>
        <v/>
      </c>
      <c r="AG229" s="82" t="str">
        <f>IF(OR(AA229="",AA229="Grand Total"),"",VLOOKUP(AA229,'Team Details'!B:C,2,0))</f>
        <v/>
      </c>
      <c r="AH229" s="81" t="str">
        <f>IF(OR(AA229="",AA229="Grand Total"),"",(IF(OR('Setup Parameters'!$C$6 = "SW Agile",'Setup Parameters'!$I$6 = "SW Agile"),"Story Point","Complexity Point")))</f>
        <v/>
      </c>
      <c r="AI229" s="81" t="str">
        <f t="shared" si="35"/>
        <v/>
      </c>
    </row>
    <row r="230" spans="1:35" x14ac:dyDescent="0.25">
      <c r="A230" s="69" t="str">
        <f t="shared" si="30"/>
        <v/>
      </c>
      <c r="B230" s="70" t="str">
        <f t="shared" si="27"/>
        <v/>
      </c>
      <c r="C230" s="71" t="str">
        <f t="shared" si="28"/>
        <v/>
      </c>
      <c r="D230" s="71" t="str">
        <f t="shared" si="29"/>
        <v/>
      </c>
      <c r="E230" s="71" t="str">
        <f t="shared" si="31"/>
        <v/>
      </c>
      <c r="F230" s="71" t="str">
        <f t="shared" si="32"/>
        <v/>
      </c>
      <c r="G230" s="71" t="str">
        <f t="shared" si="33"/>
        <v/>
      </c>
      <c r="AF230" s="77" t="str">
        <f t="shared" si="34"/>
        <v/>
      </c>
      <c r="AG230" s="82" t="str">
        <f>IF(OR(AA230="",AA230="Grand Total"),"",VLOOKUP(AA230,'Team Details'!B:C,2,0))</f>
        <v/>
      </c>
      <c r="AH230" s="81" t="str">
        <f>IF(OR(AA230="",AA230="Grand Total"),"",(IF(OR('Setup Parameters'!$C$6 = "SW Agile",'Setup Parameters'!$I$6 = "SW Agile"),"Story Point","Complexity Point")))</f>
        <v/>
      </c>
      <c r="AI230" s="81" t="str">
        <f t="shared" si="35"/>
        <v/>
      </c>
    </row>
    <row r="231" spans="1:35" x14ac:dyDescent="0.25">
      <c r="A231" s="69" t="str">
        <f t="shared" si="30"/>
        <v/>
      </c>
      <c r="B231" s="70" t="str">
        <f t="shared" si="27"/>
        <v/>
      </c>
      <c r="C231" s="71" t="str">
        <f t="shared" si="28"/>
        <v/>
      </c>
      <c r="D231" s="71" t="str">
        <f t="shared" si="29"/>
        <v/>
      </c>
      <c r="E231" s="71" t="str">
        <f t="shared" si="31"/>
        <v/>
      </c>
      <c r="F231" s="71" t="str">
        <f t="shared" si="32"/>
        <v/>
      </c>
      <c r="G231" s="71" t="str">
        <f t="shared" si="33"/>
        <v/>
      </c>
      <c r="AF231" s="77" t="str">
        <f t="shared" si="34"/>
        <v/>
      </c>
      <c r="AG231" s="82" t="str">
        <f>IF(OR(AA231="",AA231="Grand Total"),"",VLOOKUP(AA231,'Team Details'!B:C,2,0))</f>
        <v/>
      </c>
      <c r="AH231" s="81" t="str">
        <f>IF(OR(AA231="",AA231="Grand Total"),"",(IF(OR('Setup Parameters'!$C$6 = "SW Agile",'Setup Parameters'!$I$6 = "SW Agile"),"Story Point","Complexity Point")))</f>
        <v/>
      </c>
      <c r="AI231" s="81" t="str">
        <f t="shared" si="35"/>
        <v/>
      </c>
    </row>
    <row r="232" spans="1:35" x14ac:dyDescent="0.25">
      <c r="A232" s="69" t="str">
        <f t="shared" si="30"/>
        <v/>
      </c>
      <c r="B232" s="70" t="str">
        <f t="shared" si="27"/>
        <v/>
      </c>
      <c r="C232" s="71" t="str">
        <f t="shared" si="28"/>
        <v/>
      </c>
      <c r="D232" s="71" t="str">
        <f t="shared" si="29"/>
        <v/>
      </c>
      <c r="E232" s="71" t="str">
        <f t="shared" si="31"/>
        <v/>
      </c>
      <c r="F232" s="71" t="str">
        <f t="shared" si="32"/>
        <v/>
      </c>
      <c r="G232" s="71" t="str">
        <f t="shared" si="33"/>
        <v/>
      </c>
      <c r="AF232" s="77" t="str">
        <f t="shared" si="34"/>
        <v/>
      </c>
      <c r="AG232" s="82" t="str">
        <f>IF(OR(AA232="",AA232="Grand Total"),"",VLOOKUP(AA232,'Team Details'!B:C,2,0))</f>
        <v/>
      </c>
      <c r="AH232" s="81" t="str">
        <f>IF(OR(AA232="",AA232="Grand Total"),"",(IF(OR('Setup Parameters'!$C$6 = "SW Agile",'Setup Parameters'!$I$6 = "SW Agile"),"Story Point","Complexity Point")))</f>
        <v/>
      </c>
      <c r="AI232" s="81" t="str">
        <f t="shared" si="35"/>
        <v/>
      </c>
    </row>
    <row r="233" spans="1:35" x14ac:dyDescent="0.25">
      <c r="A233" s="69" t="str">
        <f t="shared" si="30"/>
        <v/>
      </c>
      <c r="B233" s="70" t="str">
        <f t="shared" si="27"/>
        <v/>
      </c>
      <c r="C233" s="71" t="str">
        <f t="shared" si="28"/>
        <v/>
      </c>
      <c r="D233" s="71" t="str">
        <f t="shared" si="29"/>
        <v/>
      </c>
      <c r="E233" s="71" t="str">
        <f t="shared" si="31"/>
        <v/>
      </c>
      <c r="F233" s="71" t="str">
        <f t="shared" si="32"/>
        <v/>
      </c>
      <c r="G233" s="71" t="str">
        <f t="shared" si="33"/>
        <v/>
      </c>
      <c r="AF233" s="77" t="str">
        <f t="shared" si="34"/>
        <v/>
      </c>
      <c r="AG233" s="82" t="str">
        <f>IF(OR(AA233="",AA233="Grand Total"),"",VLOOKUP(AA233,'Team Details'!B:C,2,0))</f>
        <v/>
      </c>
      <c r="AH233" s="81" t="str">
        <f>IF(OR(AA233="",AA233="Grand Total"),"",(IF(OR('Setup Parameters'!$C$6 = "SW Agile",'Setup Parameters'!$I$6 = "SW Agile"),"Story Point","Complexity Point")))</f>
        <v/>
      </c>
      <c r="AI233" s="81" t="str">
        <f t="shared" si="35"/>
        <v/>
      </c>
    </row>
    <row r="234" spans="1:35" x14ac:dyDescent="0.25">
      <c r="A234" s="69" t="str">
        <f t="shared" si="30"/>
        <v/>
      </c>
      <c r="B234" s="70" t="str">
        <f t="shared" si="27"/>
        <v/>
      </c>
      <c r="C234" s="71" t="str">
        <f t="shared" si="28"/>
        <v/>
      </c>
      <c r="D234" s="71" t="str">
        <f t="shared" si="29"/>
        <v/>
      </c>
      <c r="E234" s="71" t="str">
        <f t="shared" si="31"/>
        <v/>
      </c>
      <c r="F234" s="71" t="str">
        <f t="shared" si="32"/>
        <v/>
      </c>
      <c r="G234" s="71" t="str">
        <f t="shared" si="33"/>
        <v/>
      </c>
      <c r="AF234" s="77" t="str">
        <f t="shared" si="34"/>
        <v/>
      </c>
      <c r="AG234" s="82" t="str">
        <f>IF(OR(AA234="",AA234="Grand Total"),"",VLOOKUP(AA234,'Team Details'!B:C,2,0))</f>
        <v/>
      </c>
      <c r="AH234" s="81" t="str">
        <f>IF(OR(AA234="",AA234="Grand Total"),"",(IF(OR('Setup Parameters'!$C$6 = "SW Agile",'Setup Parameters'!$I$6 = "SW Agile"),"Story Point","Complexity Point")))</f>
        <v/>
      </c>
      <c r="AI234" s="81" t="str">
        <f t="shared" si="35"/>
        <v/>
      </c>
    </row>
    <row r="235" spans="1:35" x14ac:dyDescent="0.25">
      <c r="A235" s="69" t="str">
        <f t="shared" si="30"/>
        <v/>
      </c>
      <c r="B235" s="70" t="str">
        <f t="shared" si="27"/>
        <v/>
      </c>
      <c r="C235" s="71" t="str">
        <f t="shared" si="28"/>
        <v/>
      </c>
      <c r="D235" s="71" t="str">
        <f t="shared" si="29"/>
        <v/>
      </c>
      <c r="E235" s="71" t="str">
        <f t="shared" si="31"/>
        <v/>
      </c>
      <c r="F235" s="71" t="str">
        <f t="shared" si="32"/>
        <v/>
      </c>
      <c r="G235" s="71" t="str">
        <f t="shared" si="33"/>
        <v/>
      </c>
      <c r="AF235" s="77" t="str">
        <f t="shared" si="34"/>
        <v/>
      </c>
      <c r="AG235" s="82" t="str">
        <f>IF(OR(AA235="",AA235="Grand Total"),"",VLOOKUP(AA235,'Team Details'!B:C,2,0))</f>
        <v/>
      </c>
      <c r="AH235" s="81" t="str">
        <f>IF(OR(AA235="",AA235="Grand Total"),"",(IF(OR('Setup Parameters'!$C$6 = "SW Agile",'Setup Parameters'!$I$6 = "SW Agile"),"Story Point","Complexity Point")))</f>
        <v/>
      </c>
      <c r="AI235" s="81" t="str">
        <f t="shared" si="35"/>
        <v/>
      </c>
    </row>
    <row r="236" spans="1:35" x14ac:dyDescent="0.25">
      <c r="A236" s="69" t="str">
        <f t="shared" si="30"/>
        <v/>
      </c>
      <c r="B236" s="70" t="str">
        <f t="shared" si="27"/>
        <v/>
      </c>
      <c r="C236" s="71" t="str">
        <f t="shared" si="28"/>
        <v/>
      </c>
      <c r="D236" s="71" t="str">
        <f t="shared" si="29"/>
        <v/>
      </c>
      <c r="E236" s="71" t="str">
        <f t="shared" si="31"/>
        <v/>
      </c>
      <c r="F236" s="71" t="str">
        <f t="shared" si="32"/>
        <v/>
      </c>
      <c r="G236" s="71" t="str">
        <f t="shared" si="33"/>
        <v/>
      </c>
      <c r="AF236" s="77" t="str">
        <f t="shared" si="34"/>
        <v/>
      </c>
      <c r="AG236" s="82" t="str">
        <f>IF(OR(AA236="",AA236="Grand Total"),"",VLOOKUP(AA236,'Team Details'!B:C,2,0))</f>
        <v/>
      </c>
      <c r="AH236" s="81" t="str">
        <f>IF(OR(AA236="",AA236="Grand Total"),"",(IF(OR('Setup Parameters'!$C$6 = "SW Agile",'Setup Parameters'!$I$6 = "SW Agile"),"Story Point","Complexity Point")))</f>
        <v/>
      </c>
      <c r="AI236" s="81" t="str">
        <f t="shared" si="35"/>
        <v/>
      </c>
    </row>
    <row r="237" spans="1:35" x14ac:dyDescent="0.25">
      <c r="A237" s="69" t="str">
        <f t="shared" si="30"/>
        <v/>
      </c>
      <c r="B237" s="70" t="str">
        <f t="shared" si="27"/>
        <v/>
      </c>
      <c r="C237" s="71" t="str">
        <f t="shared" si="28"/>
        <v/>
      </c>
      <c r="D237" s="71" t="str">
        <f t="shared" si="29"/>
        <v/>
      </c>
      <c r="E237" s="71" t="str">
        <f t="shared" si="31"/>
        <v/>
      </c>
      <c r="F237" s="71" t="str">
        <f t="shared" si="32"/>
        <v/>
      </c>
      <c r="G237" s="71" t="str">
        <f t="shared" si="33"/>
        <v/>
      </c>
      <c r="AF237" s="77" t="str">
        <f t="shared" si="34"/>
        <v/>
      </c>
      <c r="AG237" s="82" t="str">
        <f>IF(OR(AA237="",AA237="Grand Total"),"",VLOOKUP(AA237,'Team Details'!B:C,2,0))</f>
        <v/>
      </c>
      <c r="AH237" s="81" t="str">
        <f>IF(OR(AA237="",AA237="Grand Total"),"",(IF(OR('Setup Parameters'!$C$6 = "SW Agile",'Setup Parameters'!$I$6 = "SW Agile"),"Story Point","Complexity Point")))</f>
        <v/>
      </c>
      <c r="AI237" s="81" t="str">
        <f t="shared" si="35"/>
        <v/>
      </c>
    </row>
    <row r="238" spans="1:35" x14ac:dyDescent="0.25">
      <c r="A238" s="69" t="str">
        <f t="shared" si="30"/>
        <v/>
      </c>
      <c r="B238" s="70" t="str">
        <f t="shared" si="27"/>
        <v/>
      </c>
      <c r="C238" s="71" t="str">
        <f t="shared" si="28"/>
        <v/>
      </c>
      <c r="D238" s="71" t="str">
        <f t="shared" si="29"/>
        <v/>
      </c>
      <c r="E238" s="71" t="str">
        <f t="shared" si="31"/>
        <v/>
      </c>
      <c r="F238" s="71" t="str">
        <f t="shared" si="32"/>
        <v/>
      </c>
      <c r="G238" s="71" t="str">
        <f t="shared" si="33"/>
        <v/>
      </c>
      <c r="AF238" s="77" t="str">
        <f t="shared" si="34"/>
        <v/>
      </c>
      <c r="AG238" s="82" t="str">
        <f>IF(OR(AA238="",AA238="Grand Total"),"",VLOOKUP(AA238,'Team Details'!B:C,2,0))</f>
        <v/>
      </c>
      <c r="AH238" s="81" t="str">
        <f>IF(OR(AA238="",AA238="Grand Total"),"",(IF(OR('Setup Parameters'!$C$6 = "SW Agile",'Setup Parameters'!$I$6 = "SW Agile"),"Story Point","Complexity Point")))</f>
        <v/>
      </c>
      <c r="AI238" s="81" t="str">
        <f t="shared" si="35"/>
        <v/>
      </c>
    </row>
    <row r="239" spans="1:35" x14ac:dyDescent="0.25">
      <c r="A239" s="69" t="str">
        <f t="shared" si="30"/>
        <v/>
      </c>
      <c r="B239" s="70" t="str">
        <f t="shared" si="27"/>
        <v/>
      </c>
      <c r="C239" s="71" t="str">
        <f t="shared" si="28"/>
        <v/>
      </c>
      <c r="D239" s="71" t="str">
        <f t="shared" si="29"/>
        <v/>
      </c>
      <c r="E239" s="71" t="str">
        <f t="shared" si="31"/>
        <v/>
      </c>
      <c r="F239" s="71" t="str">
        <f t="shared" si="32"/>
        <v/>
      </c>
      <c r="G239" s="71" t="str">
        <f t="shared" si="33"/>
        <v/>
      </c>
      <c r="AF239" s="77" t="str">
        <f t="shared" si="34"/>
        <v/>
      </c>
      <c r="AG239" s="82" t="str">
        <f>IF(OR(AA239="",AA239="Grand Total"),"",VLOOKUP(AA239,'Team Details'!B:C,2,0))</f>
        <v/>
      </c>
      <c r="AH239" s="81" t="str">
        <f>IF(OR(AA239="",AA239="Grand Total"),"",(IF(OR('Setup Parameters'!$C$6 = "SW Agile",'Setup Parameters'!$I$6 = "SW Agile"),"Story Point","Complexity Point")))</f>
        <v/>
      </c>
      <c r="AI239" s="81" t="str">
        <f t="shared" si="35"/>
        <v/>
      </c>
    </row>
    <row r="240" spans="1:35" x14ac:dyDescent="0.25">
      <c r="A240" s="69" t="str">
        <f t="shared" si="30"/>
        <v/>
      </c>
      <c r="B240" s="70" t="str">
        <f t="shared" si="27"/>
        <v/>
      </c>
      <c r="C240" s="71" t="str">
        <f t="shared" si="28"/>
        <v/>
      </c>
      <c r="D240" s="71" t="str">
        <f t="shared" si="29"/>
        <v/>
      </c>
      <c r="E240" s="71" t="str">
        <f t="shared" si="31"/>
        <v/>
      </c>
      <c r="F240" s="71" t="str">
        <f t="shared" si="32"/>
        <v/>
      </c>
      <c r="G240" s="71" t="str">
        <f t="shared" si="33"/>
        <v/>
      </c>
      <c r="AF240" s="77" t="str">
        <f t="shared" si="34"/>
        <v/>
      </c>
      <c r="AG240" s="82" t="str">
        <f>IF(OR(AA240="",AA240="Grand Total"),"",VLOOKUP(AA240,'Team Details'!B:C,2,0))</f>
        <v/>
      </c>
      <c r="AH240" s="81" t="str">
        <f>IF(OR(AA240="",AA240="Grand Total"),"",(IF(OR('Setup Parameters'!$C$6 = "SW Agile",'Setup Parameters'!$I$6 = "SW Agile"),"Story Point","Complexity Point")))</f>
        <v/>
      </c>
      <c r="AI240" s="81" t="str">
        <f t="shared" si="35"/>
        <v/>
      </c>
    </row>
    <row r="241" spans="1:35" x14ac:dyDescent="0.25">
      <c r="A241" s="69" t="str">
        <f t="shared" si="30"/>
        <v/>
      </c>
      <c r="B241" s="70" t="str">
        <f t="shared" si="27"/>
        <v/>
      </c>
      <c r="C241" s="71" t="str">
        <f t="shared" si="28"/>
        <v/>
      </c>
      <c r="D241" s="71" t="str">
        <f t="shared" si="29"/>
        <v/>
      </c>
      <c r="E241" s="71" t="str">
        <f t="shared" si="31"/>
        <v/>
      </c>
      <c r="F241" s="71" t="str">
        <f t="shared" si="32"/>
        <v/>
      </c>
      <c r="G241" s="71" t="str">
        <f t="shared" si="33"/>
        <v/>
      </c>
      <c r="AF241" s="77" t="str">
        <f t="shared" si="34"/>
        <v/>
      </c>
      <c r="AG241" s="82" t="str">
        <f>IF(OR(AA241="",AA241="Grand Total"),"",VLOOKUP(AA241,'Team Details'!B:C,2,0))</f>
        <v/>
      </c>
      <c r="AH241" s="81" t="str">
        <f>IF(OR(AA241="",AA241="Grand Total"),"",(IF(OR('Setup Parameters'!$C$6 = "SW Agile",'Setup Parameters'!$I$6 = "SW Agile"),"Story Point","Complexity Point")))</f>
        <v/>
      </c>
      <c r="AI241" s="81" t="str">
        <f t="shared" si="35"/>
        <v/>
      </c>
    </row>
    <row r="242" spans="1:35" x14ac:dyDescent="0.25">
      <c r="A242" s="69" t="str">
        <f t="shared" si="30"/>
        <v/>
      </c>
      <c r="B242" s="70" t="str">
        <f t="shared" si="27"/>
        <v/>
      </c>
      <c r="C242" s="71" t="str">
        <f t="shared" si="28"/>
        <v/>
      </c>
      <c r="D242" s="71" t="str">
        <f t="shared" si="29"/>
        <v/>
      </c>
      <c r="E242" s="71" t="str">
        <f t="shared" si="31"/>
        <v/>
      </c>
      <c r="F242" s="71" t="str">
        <f t="shared" si="32"/>
        <v/>
      </c>
      <c r="G242" s="71" t="str">
        <f t="shared" si="33"/>
        <v/>
      </c>
      <c r="AF242" s="77" t="str">
        <f t="shared" si="34"/>
        <v/>
      </c>
      <c r="AG242" s="82" t="str">
        <f>IF(OR(AA242="",AA242="Grand Total"),"",VLOOKUP(AA242,'Team Details'!B:C,2,0))</f>
        <v/>
      </c>
      <c r="AH242" s="81" t="str">
        <f>IF(OR(AA242="",AA242="Grand Total"),"",(IF(OR('Setup Parameters'!$C$6 = "SW Agile",'Setup Parameters'!$I$6 = "SW Agile"),"Story Point","Complexity Point")))</f>
        <v/>
      </c>
      <c r="AI242" s="81" t="str">
        <f t="shared" si="35"/>
        <v/>
      </c>
    </row>
    <row r="243" spans="1:35" x14ac:dyDescent="0.25">
      <c r="A243" s="69" t="str">
        <f t="shared" si="30"/>
        <v/>
      </c>
      <c r="B243" s="70" t="str">
        <f t="shared" si="27"/>
        <v/>
      </c>
      <c r="C243" s="71" t="str">
        <f t="shared" si="28"/>
        <v/>
      </c>
      <c r="D243" s="71" t="str">
        <f t="shared" si="29"/>
        <v/>
      </c>
      <c r="E243" s="71" t="str">
        <f t="shared" si="31"/>
        <v/>
      </c>
      <c r="F243" s="71" t="str">
        <f t="shared" si="32"/>
        <v/>
      </c>
      <c r="G243" s="71" t="str">
        <f t="shared" si="33"/>
        <v/>
      </c>
      <c r="AF243" s="77" t="str">
        <f t="shared" si="34"/>
        <v/>
      </c>
      <c r="AG243" s="82" t="str">
        <f>IF(OR(AA243="",AA243="Grand Total"),"",VLOOKUP(AA243,'Team Details'!B:C,2,0))</f>
        <v/>
      </c>
      <c r="AH243" s="81" t="str">
        <f>IF(OR(AA243="",AA243="Grand Total"),"",(IF(OR('Setup Parameters'!$C$6 = "SW Agile",'Setup Parameters'!$I$6 = "SW Agile"),"Story Point","Complexity Point")))</f>
        <v/>
      </c>
      <c r="AI243" s="81" t="str">
        <f t="shared" si="35"/>
        <v/>
      </c>
    </row>
    <row r="244" spans="1:35" x14ac:dyDescent="0.25">
      <c r="A244" s="69" t="str">
        <f t="shared" si="30"/>
        <v/>
      </c>
      <c r="B244" s="70" t="str">
        <f t="shared" si="27"/>
        <v/>
      </c>
      <c r="C244" s="71" t="str">
        <f t="shared" si="28"/>
        <v/>
      </c>
      <c r="D244" s="71" t="str">
        <f t="shared" si="29"/>
        <v/>
      </c>
      <c r="E244" s="71" t="str">
        <f t="shared" si="31"/>
        <v/>
      </c>
      <c r="F244" s="71" t="str">
        <f t="shared" si="32"/>
        <v/>
      </c>
      <c r="G244" s="71" t="str">
        <f t="shared" si="33"/>
        <v/>
      </c>
      <c r="AF244" s="77" t="str">
        <f t="shared" si="34"/>
        <v/>
      </c>
      <c r="AG244" s="82" t="str">
        <f>IF(OR(AA244="",AA244="Grand Total"),"",VLOOKUP(AA244,'Team Details'!B:C,2,0))</f>
        <v/>
      </c>
      <c r="AH244" s="81" t="str">
        <f>IF(OR(AA244="",AA244="Grand Total"),"",(IF(OR('Setup Parameters'!$C$6 = "SW Agile",'Setup Parameters'!$I$6 = "SW Agile"),"Story Point","Complexity Point")))</f>
        <v/>
      </c>
      <c r="AI244" s="81" t="str">
        <f t="shared" si="35"/>
        <v/>
      </c>
    </row>
    <row r="245" spans="1:35" x14ac:dyDescent="0.25">
      <c r="A245" s="69" t="str">
        <f t="shared" si="30"/>
        <v/>
      </c>
      <c r="B245" s="70" t="str">
        <f t="shared" si="27"/>
        <v/>
      </c>
      <c r="C245" s="71" t="str">
        <f t="shared" si="28"/>
        <v/>
      </c>
      <c r="D245" s="71" t="str">
        <f t="shared" si="29"/>
        <v/>
      </c>
      <c r="E245" s="71" t="str">
        <f t="shared" si="31"/>
        <v/>
      </c>
      <c r="F245" s="71" t="str">
        <f t="shared" si="32"/>
        <v/>
      </c>
      <c r="G245" s="71" t="str">
        <f t="shared" si="33"/>
        <v/>
      </c>
      <c r="AF245" s="77" t="str">
        <f t="shared" si="34"/>
        <v/>
      </c>
      <c r="AG245" s="82" t="str">
        <f>IF(OR(AA245="",AA245="Grand Total"),"",VLOOKUP(AA245,'Team Details'!B:C,2,0))</f>
        <v/>
      </c>
      <c r="AH245" s="81" t="str">
        <f>IF(OR(AA245="",AA245="Grand Total"),"",(IF(OR('Setup Parameters'!$C$6 = "SW Agile",'Setup Parameters'!$I$6 = "SW Agile"),"Story Point","Complexity Point")))</f>
        <v/>
      </c>
      <c r="AI245" s="81" t="str">
        <f t="shared" si="35"/>
        <v/>
      </c>
    </row>
    <row r="246" spans="1:35" x14ac:dyDescent="0.25">
      <c r="A246" s="69" t="str">
        <f t="shared" si="30"/>
        <v/>
      </c>
      <c r="B246" s="70" t="str">
        <f t="shared" si="27"/>
        <v/>
      </c>
      <c r="C246" s="71" t="str">
        <f t="shared" si="28"/>
        <v/>
      </c>
      <c r="D246" s="71" t="str">
        <f t="shared" si="29"/>
        <v/>
      </c>
      <c r="E246" s="71" t="str">
        <f t="shared" si="31"/>
        <v/>
      </c>
      <c r="F246" s="71" t="str">
        <f t="shared" si="32"/>
        <v/>
      </c>
      <c r="G246" s="71" t="str">
        <f t="shared" si="33"/>
        <v/>
      </c>
      <c r="AF246" s="77" t="str">
        <f t="shared" si="34"/>
        <v/>
      </c>
      <c r="AG246" s="82" t="str">
        <f>IF(OR(AA246="",AA246="Grand Total"),"",VLOOKUP(AA246,'Team Details'!B:C,2,0))</f>
        <v/>
      </c>
      <c r="AH246" s="81" t="str">
        <f>IF(OR(AA246="",AA246="Grand Total"),"",(IF(OR('Setup Parameters'!$C$6 = "SW Agile",'Setup Parameters'!$I$6 = "SW Agile"),"Story Point","Complexity Point")))</f>
        <v/>
      </c>
      <c r="AI246" s="81" t="str">
        <f t="shared" si="35"/>
        <v/>
      </c>
    </row>
    <row r="247" spans="1:35" x14ac:dyDescent="0.25">
      <c r="A247" s="69" t="str">
        <f t="shared" si="30"/>
        <v/>
      </c>
      <c r="B247" s="70" t="str">
        <f t="shared" si="27"/>
        <v/>
      </c>
      <c r="C247" s="71" t="str">
        <f t="shared" si="28"/>
        <v/>
      </c>
      <c r="D247" s="71" t="str">
        <f t="shared" si="29"/>
        <v/>
      </c>
      <c r="E247" s="71" t="str">
        <f t="shared" si="31"/>
        <v/>
      </c>
      <c r="F247" s="71" t="str">
        <f t="shared" si="32"/>
        <v/>
      </c>
      <c r="G247" s="71" t="str">
        <f t="shared" si="33"/>
        <v/>
      </c>
      <c r="AF247" s="77" t="str">
        <f t="shared" si="34"/>
        <v/>
      </c>
      <c r="AG247" s="82" t="str">
        <f>IF(OR(AA247="",AA247="Grand Total"),"",VLOOKUP(AA247,'Team Details'!B:C,2,0))</f>
        <v/>
      </c>
      <c r="AH247" s="81" t="str">
        <f>IF(OR(AA247="",AA247="Grand Total"),"",(IF(OR('Setup Parameters'!$C$6 = "SW Agile",'Setup Parameters'!$I$6 = "SW Agile"),"Story Point","Complexity Point")))</f>
        <v/>
      </c>
      <c r="AI247" s="81" t="str">
        <f t="shared" si="35"/>
        <v/>
      </c>
    </row>
    <row r="248" spans="1:35" x14ac:dyDescent="0.25">
      <c r="A248" s="69" t="str">
        <f t="shared" si="30"/>
        <v/>
      </c>
      <c r="B248" s="70" t="str">
        <f t="shared" si="27"/>
        <v/>
      </c>
      <c r="C248" s="71" t="str">
        <f t="shared" si="28"/>
        <v/>
      </c>
      <c r="D248" s="71" t="str">
        <f t="shared" si="29"/>
        <v/>
      </c>
      <c r="E248" s="71" t="str">
        <f t="shared" si="31"/>
        <v/>
      </c>
      <c r="F248" s="71" t="str">
        <f t="shared" si="32"/>
        <v/>
      </c>
      <c r="G248" s="71" t="str">
        <f t="shared" si="33"/>
        <v/>
      </c>
      <c r="AF248" s="77" t="str">
        <f t="shared" si="34"/>
        <v/>
      </c>
      <c r="AG248" s="82" t="str">
        <f>IF(OR(AA248="",AA248="Grand Total"),"",VLOOKUP(AA248,'Team Details'!B:C,2,0))</f>
        <v/>
      </c>
      <c r="AH248" s="81" t="str">
        <f>IF(OR(AA248="",AA248="Grand Total"),"",(IF(OR('Setup Parameters'!$C$6 = "SW Agile",'Setup Parameters'!$I$6 = "SW Agile"),"Story Point","Complexity Point")))</f>
        <v/>
      </c>
      <c r="AI248" s="81" t="str">
        <f t="shared" si="35"/>
        <v/>
      </c>
    </row>
    <row r="249" spans="1:35" x14ac:dyDescent="0.25">
      <c r="A249" s="69" t="str">
        <f t="shared" si="30"/>
        <v/>
      </c>
      <c r="B249" s="70" t="str">
        <f t="shared" si="27"/>
        <v/>
      </c>
      <c r="C249" s="71" t="str">
        <f t="shared" si="28"/>
        <v/>
      </c>
      <c r="D249" s="71" t="str">
        <f t="shared" si="29"/>
        <v/>
      </c>
      <c r="E249" s="71" t="str">
        <f t="shared" si="31"/>
        <v/>
      </c>
      <c r="F249" s="71" t="str">
        <f t="shared" si="32"/>
        <v/>
      </c>
      <c r="G249" s="71" t="str">
        <f t="shared" si="33"/>
        <v/>
      </c>
      <c r="AF249" s="77" t="str">
        <f t="shared" si="34"/>
        <v/>
      </c>
      <c r="AG249" s="82" t="str">
        <f>IF(OR(AA249="",AA249="Grand Total"),"",VLOOKUP(AA249,'Team Details'!B:C,2,0))</f>
        <v/>
      </c>
      <c r="AH249" s="81" t="str">
        <f>IF(OR(AA249="",AA249="Grand Total"),"",(IF(OR('Setup Parameters'!$C$6 = "SW Agile",'Setup Parameters'!$I$6 = "SW Agile"),"Story Point","Complexity Point")))</f>
        <v/>
      </c>
      <c r="AI249" s="81" t="str">
        <f t="shared" si="35"/>
        <v/>
      </c>
    </row>
    <row r="250" spans="1:35" x14ac:dyDescent="0.25">
      <c r="A250" s="69" t="str">
        <f t="shared" si="30"/>
        <v/>
      </c>
      <c r="B250" s="70" t="str">
        <f t="shared" si="27"/>
        <v/>
      </c>
      <c r="C250" s="71" t="str">
        <f t="shared" si="28"/>
        <v/>
      </c>
      <c r="D250" s="71" t="str">
        <f t="shared" si="29"/>
        <v/>
      </c>
      <c r="E250" s="71" t="str">
        <f t="shared" si="31"/>
        <v/>
      </c>
      <c r="F250" s="71" t="str">
        <f t="shared" si="32"/>
        <v/>
      </c>
      <c r="G250" s="71" t="str">
        <f t="shared" si="33"/>
        <v/>
      </c>
      <c r="AF250" s="77" t="str">
        <f t="shared" si="34"/>
        <v/>
      </c>
      <c r="AG250" s="82" t="str">
        <f>IF(OR(AA250="",AA250="Grand Total"),"",VLOOKUP(AA250,'Team Details'!B:C,2,0))</f>
        <v/>
      </c>
      <c r="AH250" s="81" t="str">
        <f>IF(OR(AA250="",AA250="Grand Total"),"",(IF(OR('Setup Parameters'!$C$6 = "SW Agile",'Setup Parameters'!$I$6 = "SW Agile"),"Story Point","Complexity Point")))</f>
        <v/>
      </c>
      <c r="AI250" s="81" t="str">
        <f t="shared" si="35"/>
        <v/>
      </c>
    </row>
    <row r="251" spans="1:35" x14ac:dyDescent="0.25">
      <c r="A251" s="69" t="str">
        <f t="shared" si="30"/>
        <v/>
      </c>
      <c r="B251" s="70" t="str">
        <f t="shared" si="27"/>
        <v/>
      </c>
      <c r="C251" s="71" t="str">
        <f t="shared" si="28"/>
        <v/>
      </c>
      <c r="D251" s="71" t="str">
        <f t="shared" si="29"/>
        <v/>
      </c>
      <c r="E251" s="71" t="str">
        <f t="shared" si="31"/>
        <v/>
      </c>
      <c r="F251" s="71" t="str">
        <f t="shared" si="32"/>
        <v/>
      </c>
      <c r="G251" s="71" t="str">
        <f t="shared" si="33"/>
        <v/>
      </c>
      <c r="AF251" s="77" t="str">
        <f t="shared" si="34"/>
        <v/>
      </c>
      <c r="AG251" s="82" t="str">
        <f>IF(OR(AA251="",AA251="Grand Total"),"",VLOOKUP(AA251,'Team Details'!B:C,2,0))</f>
        <v/>
      </c>
      <c r="AH251" s="81" t="str">
        <f>IF(OR(AA251="",AA251="Grand Total"),"",(IF(OR('Setup Parameters'!$C$6 = "SW Agile",'Setup Parameters'!$I$6 = "SW Agile"),"Story Point","Complexity Point")))</f>
        <v/>
      </c>
      <c r="AI251" s="81" t="str">
        <f t="shared" si="35"/>
        <v/>
      </c>
    </row>
    <row r="252" spans="1:35" x14ac:dyDescent="0.25">
      <c r="A252" s="69" t="str">
        <f t="shared" si="30"/>
        <v/>
      </c>
      <c r="B252" s="70" t="str">
        <f t="shared" si="27"/>
        <v/>
      </c>
      <c r="C252" s="71" t="str">
        <f t="shared" si="28"/>
        <v/>
      </c>
      <c r="D252" s="71" t="str">
        <f t="shared" si="29"/>
        <v/>
      </c>
      <c r="E252" s="71" t="str">
        <f t="shared" si="31"/>
        <v/>
      </c>
      <c r="F252" s="71" t="str">
        <f t="shared" si="32"/>
        <v/>
      </c>
      <c r="G252" s="71" t="str">
        <f t="shared" si="33"/>
        <v/>
      </c>
      <c r="AF252" s="77" t="str">
        <f t="shared" si="34"/>
        <v/>
      </c>
      <c r="AG252" s="82" t="str">
        <f>IF(OR(AA252="",AA252="Grand Total"),"",VLOOKUP(AA252,'Team Details'!B:C,2,0))</f>
        <v/>
      </c>
      <c r="AH252" s="81" t="str">
        <f>IF(OR(AA252="",AA252="Grand Total"),"",(IF(OR('Setup Parameters'!$C$6 = "SW Agile",'Setup Parameters'!$I$6 = "SW Agile"),"Story Point","Complexity Point")))</f>
        <v/>
      </c>
      <c r="AI252" s="81" t="str">
        <f t="shared" si="35"/>
        <v/>
      </c>
    </row>
    <row r="253" spans="1:35" x14ac:dyDescent="0.25">
      <c r="A253" s="69" t="str">
        <f t="shared" si="30"/>
        <v/>
      </c>
      <c r="B253" s="70" t="str">
        <f t="shared" si="27"/>
        <v/>
      </c>
      <c r="C253" s="71" t="str">
        <f t="shared" si="28"/>
        <v/>
      </c>
      <c r="D253" s="71" t="str">
        <f t="shared" si="29"/>
        <v/>
      </c>
      <c r="E253" s="71" t="str">
        <f t="shared" si="31"/>
        <v/>
      </c>
      <c r="F253" s="71" t="str">
        <f t="shared" si="32"/>
        <v/>
      </c>
      <c r="G253" s="71" t="str">
        <f t="shared" si="33"/>
        <v/>
      </c>
      <c r="AF253" s="77" t="str">
        <f t="shared" si="34"/>
        <v/>
      </c>
      <c r="AG253" s="82" t="str">
        <f>IF(OR(AA253="",AA253="Grand Total"),"",VLOOKUP(AA253,'Team Details'!B:C,2,0))</f>
        <v/>
      </c>
      <c r="AH253" s="81" t="str">
        <f>IF(OR(AA253="",AA253="Grand Total"),"",(IF(OR('Setup Parameters'!$C$6 = "SW Agile",'Setup Parameters'!$I$6 = "SW Agile"),"Story Point","Complexity Point")))</f>
        <v/>
      </c>
      <c r="AI253" s="81" t="str">
        <f t="shared" si="35"/>
        <v/>
      </c>
    </row>
    <row r="254" spans="1:35" x14ac:dyDescent="0.25">
      <c r="A254" s="69" t="str">
        <f t="shared" si="30"/>
        <v/>
      </c>
      <c r="B254" s="70" t="str">
        <f t="shared" si="27"/>
        <v/>
      </c>
      <c r="C254" s="71" t="str">
        <f t="shared" si="28"/>
        <v/>
      </c>
      <c r="D254" s="71" t="str">
        <f t="shared" si="29"/>
        <v/>
      </c>
      <c r="E254" s="71" t="str">
        <f t="shared" si="31"/>
        <v/>
      </c>
      <c r="F254" s="71" t="str">
        <f t="shared" si="32"/>
        <v/>
      </c>
      <c r="G254" s="71" t="str">
        <f t="shared" si="33"/>
        <v/>
      </c>
      <c r="AF254" s="77" t="str">
        <f t="shared" si="34"/>
        <v/>
      </c>
      <c r="AG254" s="82" t="str">
        <f>IF(OR(AA254="",AA254="Grand Total"),"",VLOOKUP(AA254,'Team Details'!B:C,2,0))</f>
        <v/>
      </c>
      <c r="AH254" s="81" t="str">
        <f>IF(OR(AA254="",AA254="Grand Total"),"",(IF(OR('Setup Parameters'!$C$6 = "SW Agile",'Setup Parameters'!$I$6 = "SW Agile"),"Story Point","Complexity Point")))</f>
        <v/>
      </c>
      <c r="AI254" s="81" t="str">
        <f t="shared" si="35"/>
        <v/>
      </c>
    </row>
    <row r="255" spans="1:35" x14ac:dyDescent="0.25">
      <c r="A255" s="69" t="str">
        <f t="shared" si="30"/>
        <v/>
      </c>
      <c r="B255" s="70" t="str">
        <f t="shared" si="27"/>
        <v/>
      </c>
      <c r="C255" s="71" t="str">
        <f t="shared" si="28"/>
        <v/>
      </c>
      <c r="D255" s="71" t="str">
        <f t="shared" si="29"/>
        <v/>
      </c>
      <c r="E255" s="71" t="str">
        <f t="shared" si="31"/>
        <v/>
      </c>
      <c r="F255" s="71" t="str">
        <f t="shared" si="32"/>
        <v/>
      </c>
      <c r="G255" s="71" t="str">
        <f t="shared" si="33"/>
        <v/>
      </c>
      <c r="AF255" s="77" t="str">
        <f t="shared" si="34"/>
        <v/>
      </c>
      <c r="AG255" s="82" t="str">
        <f>IF(OR(AA255="",AA255="Grand Total"),"",VLOOKUP(AA255,'Team Details'!B:C,2,0))</f>
        <v/>
      </c>
      <c r="AH255" s="81" t="str">
        <f>IF(OR(AA255="",AA255="Grand Total"),"",(IF(OR('Setup Parameters'!$C$6 = "SW Agile",'Setup Parameters'!$I$6 = "SW Agile"),"Story Point","Complexity Point")))</f>
        <v/>
      </c>
      <c r="AI255" s="81" t="str">
        <f t="shared" si="35"/>
        <v/>
      </c>
    </row>
    <row r="256" spans="1:35" x14ac:dyDescent="0.25">
      <c r="A256" s="69" t="str">
        <f t="shared" si="30"/>
        <v/>
      </c>
      <c r="B256" s="70" t="str">
        <f t="shared" si="27"/>
        <v/>
      </c>
      <c r="C256" s="71" t="str">
        <f t="shared" si="28"/>
        <v/>
      </c>
      <c r="D256" s="71" t="str">
        <f t="shared" si="29"/>
        <v/>
      </c>
      <c r="E256" s="71" t="str">
        <f t="shared" si="31"/>
        <v/>
      </c>
      <c r="F256" s="71" t="str">
        <f t="shared" si="32"/>
        <v/>
      </c>
      <c r="G256" s="71" t="str">
        <f t="shared" si="33"/>
        <v/>
      </c>
      <c r="AF256" s="77" t="str">
        <f t="shared" si="34"/>
        <v/>
      </c>
      <c r="AG256" s="82" t="str">
        <f>IF(OR(AA256="",AA256="Grand Total"),"",VLOOKUP(AA256,'Team Details'!B:C,2,0))</f>
        <v/>
      </c>
      <c r="AH256" s="81" t="str">
        <f>IF(OR(AA256="",AA256="Grand Total"),"",(IF(OR('Setup Parameters'!$C$6 = "SW Agile",'Setup Parameters'!$I$6 = "SW Agile"),"Story Point","Complexity Point")))</f>
        <v/>
      </c>
      <c r="AI256" s="81" t="str">
        <f t="shared" si="35"/>
        <v/>
      </c>
    </row>
    <row r="257" spans="1:35" x14ac:dyDescent="0.25">
      <c r="A257" s="69" t="str">
        <f t="shared" si="30"/>
        <v/>
      </c>
      <c r="B257" s="70" t="str">
        <f t="shared" si="27"/>
        <v/>
      </c>
      <c r="C257" s="71" t="str">
        <f t="shared" si="28"/>
        <v/>
      </c>
      <c r="D257" s="71" t="str">
        <f t="shared" si="29"/>
        <v/>
      </c>
      <c r="E257" s="71" t="str">
        <f t="shared" si="31"/>
        <v/>
      </c>
      <c r="F257" s="71" t="str">
        <f t="shared" si="32"/>
        <v/>
      </c>
      <c r="G257" s="71" t="str">
        <f t="shared" si="33"/>
        <v/>
      </c>
      <c r="AF257" s="77" t="str">
        <f t="shared" si="34"/>
        <v/>
      </c>
      <c r="AG257" s="82" t="str">
        <f>IF(OR(AA257="",AA257="Grand Total"),"",VLOOKUP(AA257,'Team Details'!B:C,2,0))</f>
        <v/>
      </c>
      <c r="AH257" s="81" t="str">
        <f>IF(OR(AA257="",AA257="Grand Total"),"",(IF(OR('Setup Parameters'!$C$6 = "SW Agile",'Setup Parameters'!$I$6 = "SW Agile"),"Story Point","Complexity Point")))</f>
        <v/>
      </c>
      <c r="AI257" s="81" t="str">
        <f t="shared" si="35"/>
        <v/>
      </c>
    </row>
    <row r="258" spans="1:35" x14ac:dyDescent="0.25">
      <c r="A258" s="69" t="str">
        <f t="shared" si="30"/>
        <v/>
      </c>
      <c r="B258" s="70" t="str">
        <f t="shared" ref="B258:B293" si="36">AG261</f>
        <v/>
      </c>
      <c r="C258" s="71" t="str">
        <f t="shared" ref="C258:C293" si="37">AH261</f>
        <v/>
      </c>
      <c r="D258" s="71" t="str">
        <f t="shared" ref="D258:D293" si="38">AI261</f>
        <v/>
      </c>
      <c r="E258" s="71" t="str">
        <f t="shared" si="31"/>
        <v/>
      </c>
      <c r="F258" s="71" t="str">
        <f t="shared" si="32"/>
        <v/>
      </c>
      <c r="G258" s="71" t="str">
        <f t="shared" si="33"/>
        <v/>
      </c>
      <c r="AF258" s="77" t="str">
        <f t="shared" si="34"/>
        <v/>
      </c>
      <c r="AG258" s="82" t="str">
        <f>IF(OR(AA258="",AA258="Grand Total"),"",VLOOKUP(AA258,'Team Details'!B:C,2,0))</f>
        <v/>
      </c>
      <c r="AH258" s="81" t="str">
        <f>IF(OR(AA258="",AA258="Grand Total"),"",(IF(OR('Setup Parameters'!$C$6 = "SW Agile",'Setup Parameters'!$I$6 = "SW Agile"),"Story Point","Complexity Point")))</f>
        <v/>
      </c>
      <c r="AI258" s="81" t="str">
        <f t="shared" si="35"/>
        <v/>
      </c>
    </row>
    <row r="259" spans="1:35" x14ac:dyDescent="0.25">
      <c r="A259" s="69" t="str">
        <f t="shared" ref="A259:A293" si="39">IF(AF262="","",AF262)</f>
        <v/>
      </c>
      <c r="B259" s="70" t="str">
        <f t="shared" si="36"/>
        <v/>
      </c>
      <c r="C259" s="71" t="str">
        <f t="shared" si="37"/>
        <v/>
      </c>
      <c r="D259" s="71" t="str">
        <f t="shared" si="38"/>
        <v/>
      </c>
      <c r="E259" s="71" t="str">
        <f t="shared" ref="E259:E293" si="40">IF(AB262="","",AB262)</f>
        <v/>
      </c>
      <c r="F259" s="71" t="str">
        <f t="shared" ref="F259:F293" si="41">IF(AC262="","",AC262)</f>
        <v/>
      </c>
      <c r="G259" s="71" t="str">
        <f t="shared" ref="G259:G293" si="42">IF(AD262="","",AD262)</f>
        <v/>
      </c>
      <c r="AF259" s="77" t="str">
        <f t="shared" si="34"/>
        <v/>
      </c>
      <c r="AG259" s="82" t="str">
        <f>IF(OR(AA259="",AA259="Grand Total"),"",VLOOKUP(AA259,'Team Details'!B:C,2,0))</f>
        <v/>
      </c>
      <c r="AH259" s="81" t="str">
        <f>IF(OR(AA259="",AA259="Grand Total"),"",(IF(OR('Setup Parameters'!$C$6 = "SW Agile",'Setup Parameters'!$I$6 = "SW Agile"),"Story Point","Complexity Point")))</f>
        <v/>
      </c>
      <c r="AI259" s="81" t="str">
        <f t="shared" si="35"/>
        <v/>
      </c>
    </row>
    <row r="260" spans="1:35" x14ac:dyDescent="0.25">
      <c r="A260" s="69" t="str">
        <f t="shared" si="39"/>
        <v/>
      </c>
      <c r="B260" s="70" t="str">
        <f t="shared" si="36"/>
        <v/>
      </c>
      <c r="C260" s="71" t="str">
        <f t="shared" si="37"/>
        <v/>
      </c>
      <c r="D260" s="71" t="str">
        <f t="shared" si="38"/>
        <v/>
      </c>
      <c r="E260" s="71" t="str">
        <f t="shared" si="40"/>
        <v/>
      </c>
      <c r="F260" s="71" t="str">
        <f t="shared" si="41"/>
        <v/>
      </c>
      <c r="G260" s="71" t="str">
        <f t="shared" si="42"/>
        <v/>
      </c>
      <c r="AF260" s="77" t="str">
        <f t="shared" si="34"/>
        <v/>
      </c>
      <c r="AG260" s="82" t="str">
        <f>IF(OR(AA260="",AA260="Grand Total"),"",VLOOKUP(AA260,'Team Details'!B:C,2,0))</f>
        <v/>
      </c>
      <c r="AH260" s="81" t="str">
        <f>IF(OR(AA260="",AA260="Grand Total"),"",(IF(OR('Setup Parameters'!$C$6 = "SW Agile",'Setup Parameters'!$I$6 = "SW Agile"),"Story Point","Complexity Point")))</f>
        <v/>
      </c>
      <c r="AI260" s="81" t="str">
        <f t="shared" si="35"/>
        <v/>
      </c>
    </row>
    <row r="261" spans="1:35" x14ac:dyDescent="0.25">
      <c r="A261" s="69" t="str">
        <f t="shared" si="39"/>
        <v/>
      </c>
      <c r="B261" s="70" t="str">
        <f t="shared" si="36"/>
        <v/>
      </c>
      <c r="C261" s="71" t="str">
        <f t="shared" si="37"/>
        <v/>
      </c>
      <c r="D261" s="71" t="str">
        <f t="shared" si="38"/>
        <v/>
      </c>
      <c r="E261" s="71" t="str">
        <f t="shared" si="40"/>
        <v/>
      </c>
      <c r="F261" s="71" t="str">
        <f t="shared" si="41"/>
        <v/>
      </c>
      <c r="G261" s="71" t="str">
        <f t="shared" si="42"/>
        <v/>
      </c>
      <c r="AF261" s="77" t="str">
        <f t="shared" si="34"/>
        <v/>
      </c>
      <c r="AG261" s="82" t="str">
        <f>IF(OR(AA261="",AA261="Grand Total"),"",VLOOKUP(AA261,'Team Details'!B:C,2,0))</f>
        <v/>
      </c>
      <c r="AH261" s="81" t="str">
        <f>IF(OR(AA261="",AA261="Grand Total"),"",(IF(OR('Setup Parameters'!$C$6 = "SW Agile",'Setup Parameters'!$I$6 = "SW Agile"),"Story Point","Complexity Point")))</f>
        <v/>
      </c>
      <c r="AI261" s="81" t="str">
        <f t="shared" si="35"/>
        <v/>
      </c>
    </row>
    <row r="262" spans="1:35" x14ac:dyDescent="0.25">
      <c r="A262" s="69" t="str">
        <f t="shared" si="39"/>
        <v/>
      </c>
      <c r="B262" s="70" t="str">
        <f t="shared" si="36"/>
        <v/>
      </c>
      <c r="C262" s="71" t="str">
        <f t="shared" si="37"/>
        <v/>
      </c>
      <c r="D262" s="71" t="str">
        <f t="shared" si="38"/>
        <v/>
      </c>
      <c r="E262" s="71" t="str">
        <f t="shared" si="40"/>
        <v/>
      </c>
      <c r="F262" s="71" t="str">
        <f t="shared" si="41"/>
        <v/>
      </c>
      <c r="G262" s="71" t="str">
        <f t="shared" si="42"/>
        <v/>
      </c>
      <c r="AF262" s="77" t="str">
        <f t="shared" ref="AF262:AF299" si="43">IF(Z262="","",$Z262)</f>
        <v/>
      </c>
      <c r="AG262" s="82" t="str">
        <f>IF(OR(AA262="",AA262="Grand Total"),"",VLOOKUP(AA262,'Team Details'!B:C,2,0))</f>
        <v/>
      </c>
      <c r="AH262" s="81" t="str">
        <f>IF(OR(AA262="",AA262="Grand Total"),"",(IF(OR('Setup Parameters'!$C$6 = "SW Agile",'Setup Parameters'!$I$6 = "SW Agile"),"Story Point","Complexity Point")))</f>
        <v/>
      </c>
      <c r="AI262" s="81" t="str">
        <f t="shared" ref="AI262:AI301" si="44">IF(AH262="","",IF(AH262="Story Point","SP/PH","CP/PH"))</f>
        <v/>
      </c>
    </row>
    <row r="263" spans="1:35" x14ac:dyDescent="0.25">
      <c r="A263" s="69" t="str">
        <f t="shared" si="39"/>
        <v/>
      </c>
      <c r="B263" s="70" t="str">
        <f t="shared" si="36"/>
        <v/>
      </c>
      <c r="C263" s="71" t="str">
        <f t="shared" si="37"/>
        <v/>
      </c>
      <c r="D263" s="71" t="str">
        <f t="shared" si="38"/>
        <v/>
      </c>
      <c r="E263" s="71" t="str">
        <f t="shared" si="40"/>
        <v/>
      </c>
      <c r="F263" s="71" t="str">
        <f t="shared" si="41"/>
        <v/>
      </c>
      <c r="G263" s="71" t="str">
        <f t="shared" si="42"/>
        <v/>
      </c>
      <c r="AF263" s="77" t="str">
        <f t="shared" si="43"/>
        <v/>
      </c>
      <c r="AG263" s="82" t="str">
        <f>IF(OR(AA263="",AA263="Grand Total"),"",VLOOKUP(AA263,'Team Details'!B:C,2,0))</f>
        <v/>
      </c>
      <c r="AH263" s="81" t="str">
        <f>IF(OR(AA263="",AA263="Grand Total"),"",(IF(OR('Setup Parameters'!$C$6 = "SW Agile",'Setup Parameters'!$I$6 = "SW Agile"),"Story Point","Complexity Point")))</f>
        <v/>
      </c>
      <c r="AI263" s="81" t="str">
        <f t="shared" si="44"/>
        <v/>
      </c>
    </row>
    <row r="264" spans="1:35" x14ac:dyDescent="0.25">
      <c r="A264" s="69" t="str">
        <f t="shared" si="39"/>
        <v/>
      </c>
      <c r="B264" s="70" t="str">
        <f t="shared" si="36"/>
        <v/>
      </c>
      <c r="C264" s="71" t="str">
        <f t="shared" si="37"/>
        <v/>
      </c>
      <c r="D264" s="71" t="str">
        <f t="shared" si="38"/>
        <v/>
      </c>
      <c r="E264" s="71" t="str">
        <f t="shared" si="40"/>
        <v/>
      </c>
      <c r="F264" s="71" t="str">
        <f t="shared" si="41"/>
        <v/>
      </c>
      <c r="G264" s="71" t="str">
        <f t="shared" si="42"/>
        <v/>
      </c>
      <c r="AF264" s="77" t="str">
        <f t="shared" si="43"/>
        <v/>
      </c>
      <c r="AG264" s="82" t="str">
        <f>IF(OR(AA264="",AA264="Grand Total"),"",VLOOKUP(AA264,'Team Details'!B:C,2,0))</f>
        <v/>
      </c>
      <c r="AH264" s="81" t="str">
        <f>IF(OR(AA264="",AA264="Grand Total"),"",(IF(OR('Setup Parameters'!$C$6 = "SW Agile",'Setup Parameters'!$I$6 = "SW Agile"),"Story Point","Complexity Point")))</f>
        <v/>
      </c>
      <c r="AI264" s="81" t="str">
        <f t="shared" si="44"/>
        <v/>
      </c>
    </row>
    <row r="265" spans="1:35" x14ac:dyDescent="0.25">
      <c r="A265" s="69" t="str">
        <f t="shared" si="39"/>
        <v/>
      </c>
      <c r="B265" s="70" t="str">
        <f t="shared" si="36"/>
        <v/>
      </c>
      <c r="C265" s="71" t="str">
        <f t="shared" si="37"/>
        <v/>
      </c>
      <c r="D265" s="71" t="str">
        <f t="shared" si="38"/>
        <v/>
      </c>
      <c r="E265" s="71" t="str">
        <f t="shared" si="40"/>
        <v/>
      </c>
      <c r="F265" s="71" t="str">
        <f t="shared" si="41"/>
        <v/>
      </c>
      <c r="G265" s="71" t="str">
        <f t="shared" si="42"/>
        <v/>
      </c>
      <c r="AF265" s="77" t="str">
        <f t="shared" si="43"/>
        <v/>
      </c>
      <c r="AG265" s="82" t="str">
        <f>IF(OR(AA265="",AA265="Grand Total"),"",VLOOKUP(AA265,'Team Details'!B:C,2,0))</f>
        <v/>
      </c>
      <c r="AH265" s="81" t="str">
        <f>IF(OR(AA265="",AA265="Grand Total"),"",(IF(OR('Setup Parameters'!$C$6 = "SW Agile",'Setup Parameters'!$I$6 = "SW Agile"),"Story Point","Complexity Point")))</f>
        <v/>
      </c>
      <c r="AI265" s="81" t="str">
        <f t="shared" si="44"/>
        <v/>
      </c>
    </row>
    <row r="266" spans="1:35" x14ac:dyDescent="0.25">
      <c r="A266" s="69" t="str">
        <f t="shared" si="39"/>
        <v/>
      </c>
      <c r="B266" s="70" t="str">
        <f t="shared" si="36"/>
        <v/>
      </c>
      <c r="C266" s="71" t="str">
        <f t="shared" si="37"/>
        <v/>
      </c>
      <c r="D266" s="71" t="str">
        <f t="shared" si="38"/>
        <v/>
      </c>
      <c r="E266" s="71" t="str">
        <f t="shared" si="40"/>
        <v/>
      </c>
      <c r="F266" s="71" t="str">
        <f t="shared" si="41"/>
        <v/>
      </c>
      <c r="G266" s="71" t="str">
        <f t="shared" si="42"/>
        <v/>
      </c>
      <c r="AF266" s="77" t="str">
        <f t="shared" si="43"/>
        <v/>
      </c>
      <c r="AG266" s="82" t="str">
        <f>IF(OR(AA266="",AA266="Grand Total"),"",VLOOKUP(AA266,'Team Details'!B:C,2,0))</f>
        <v/>
      </c>
      <c r="AH266" s="81" t="str">
        <f>IF(OR(AA266="",AA266="Grand Total"),"",(IF(OR('Setup Parameters'!$C$6 = "SW Agile",'Setup Parameters'!$I$6 = "SW Agile"),"Story Point","Complexity Point")))</f>
        <v/>
      </c>
      <c r="AI266" s="81" t="str">
        <f t="shared" si="44"/>
        <v/>
      </c>
    </row>
    <row r="267" spans="1:35" x14ac:dyDescent="0.25">
      <c r="A267" s="69" t="str">
        <f t="shared" si="39"/>
        <v/>
      </c>
      <c r="B267" s="70" t="str">
        <f t="shared" si="36"/>
        <v/>
      </c>
      <c r="C267" s="71" t="str">
        <f t="shared" si="37"/>
        <v/>
      </c>
      <c r="D267" s="71" t="str">
        <f t="shared" si="38"/>
        <v/>
      </c>
      <c r="E267" s="71" t="str">
        <f t="shared" si="40"/>
        <v/>
      </c>
      <c r="F267" s="71" t="str">
        <f t="shared" si="41"/>
        <v/>
      </c>
      <c r="G267" s="71" t="str">
        <f t="shared" si="42"/>
        <v/>
      </c>
      <c r="AF267" s="77" t="str">
        <f t="shared" si="43"/>
        <v/>
      </c>
      <c r="AG267" s="82" t="str">
        <f>IF(OR(AA267="",AA267="Grand Total"),"",VLOOKUP(AA267,'Team Details'!B:C,2,0))</f>
        <v/>
      </c>
      <c r="AH267" s="81" t="str">
        <f>IF(OR(AA267="",AA267="Grand Total"),"",(IF(OR('Setup Parameters'!$C$6 = "SW Agile",'Setup Parameters'!$I$6 = "SW Agile"),"Story Point","Complexity Point")))</f>
        <v/>
      </c>
      <c r="AI267" s="81" t="str">
        <f t="shared" si="44"/>
        <v/>
      </c>
    </row>
    <row r="268" spans="1:35" x14ac:dyDescent="0.25">
      <c r="A268" s="69" t="str">
        <f t="shared" si="39"/>
        <v/>
      </c>
      <c r="B268" s="70" t="str">
        <f t="shared" si="36"/>
        <v/>
      </c>
      <c r="C268" s="71" t="str">
        <f t="shared" si="37"/>
        <v/>
      </c>
      <c r="D268" s="71" t="str">
        <f t="shared" si="38"/>
        <v/>
      </c>
      <c r="E268" s="71" t="str">
        <f t="shared" si="40"/>
        <v/>
      </c>
      <c r="F268" s="71" t="str">
        <f t="shared" si="41"/>
        <v/>
      </c>
      <c r="G268" s="71" t="str">
        <f t="shared" si="42"/>
        <v/>
      </c>
      <c r="AF268" s="77" t="str">
        <f t="shared" si="43"/>
        <v/>
      </c>
      <c r="AG268" s="82" t="str">
        <f>IF(OR(AA268="",AA268="Grand Total"),"",VLOOKUP(AA268,'Team Details'!B:C,2,0))</f>
        <v/>
      </c>
      <c r="AH268" s="81" t="str">
        <f>IF(OR(AA268="",AA268="Grand Total"),"",(IF(OR('Setup Parameters'!$C$6 = "SW Agile",'Setup Parameters'!$I$6 = "SW Agile"),"Story Point","Complexity Point")))</f>
        <v/>
      </c>
      <c r="AI268" s="81" t="str">
        <f t="shared" si="44"/>
        <v/>
      </c>
    </row>
    <row r="269" spans="1:35" x14ac:dyDescent="0.25">
      <c r="A269" s="69" t="str">
        <f t="shared" si="39"/>
        <v/>
      </c>
      <c r="B269" s="70" t="str">
        <f t="shared" si="36"/>
        <v/>
      </c>
      <c r="C269" s="71" t="str">
        <f t="shared" si="37"/>
        <v/>
      </c>
      <c r="D269" s="71" t="str">
        <f t="shared" si="38"/>
        <v/>
      </c>
      <c r="E269" s="71" t="str">
        <f t="shared" si="40"/>
        <v/>
      </c>
      <c r="F269" s="71" t="str">
        <f t="shared" si="41"/>
        <v/>
      </c>
      <c r="G269" s="71" t="str">
        <f t="shared" si="42"/>
        <v/>
      </c>
      <c r="AF269" s="77" t="str">
        <f t="shared" si="43"/>
        <v/>
      </c>
      <c r="AG269" s="82" t="str">
        <f>IF(OR(AA269="",AA269="Grand Total"),"",VLOOKUP(AA269,'Team Details'!B:C,2,0))</f>
        <v/>
      </c>
      <c r="AH269" s="81" t="str">
        <f>IF(OR(AA269="",AA269="Grand Total"),"",(IF(OR('Setup Parameters'!$C$6 = "SW Agile",'Setup Parameters'!$I$6 = "SW Agile"),"Story Point","Complexity Point")))</f>
        <v/>
      </c>
      <c r="AI269" s="81" t="str">
        <f t="shared" si="44"/>
        <v/>
      </c>
    </row>
    <row r="270" spans="1:35" x14ac:dyDescent="0.25">
      <c r="A270" s="69" t="str">
        <f t="shared" si="39"/>
        <v/>
      </c>
      <c r="B270" s="70" t="str">
        <f t="shared" si="36"/>
        <v/>
      </c>
      <c r="C270" s="71" t="str">
        <f t="shared" si="37"/>
        <v/>
      </c>
      <c r="D270" s="71" t="str">
        <f t="shared" si="38"/>
        <v/>
      </c>
      <c r="E270" s="71" t="str">
        <f t="shared" si="40"/>
        <v/>
      </c>
      <c r="F270" s="71" t="str">
        <f t="shared" si="41"/>
        <v/>
      </c>
      <c r="G270" s="71" t="str">
        <f t="shared" si="42"/>
        <v/>
      </c>
      <c r="AF270" s="77" t="str">
        <f t="shared" si="43"/>
        <v/>
      </c>
      <c r="AG270" s="82" t="str">
        <f>IF(OR(AA270="",AA270="Grand Total"),"",VLOOKUP(AA270,'Team Details'!B:C,2,0))</f>
        <v/>
      </c>
      <c r="AH270" s="81" t="str">
        <f>IF(OR(AA270="",AA270="Grand Total"),"",(IF(OR('Setup Parameters'!$C$6 = "SW Agile",'Setup Parameters'!$I$6 = "SW Agile"),"Story Point","Complexity Point")))</f>
        <v/>
      </c>
      <c r="AI270" s="81" t="str">
        <f t="shared" si="44"/>
        <v/>
      </c>
    </row>
    <row r="271" spans="1:35" x14ac:dyDescent="0.25">
      <c r="A271" s="69" t="str">
        <f t="shared" si="39"/>
        <v/>
      </c>
      <c r="B271" s="70" t="str">
        <f t="shared" si="36"/>
        <v/>
      </c>
      <c r="C271" s="71" t="str">
        <f t="shared" si="37"/>
        <v/>
      </c>
      <c r="D271" s="71" t="str">
        <f t="shared" si="38"/>
        <v/>
      </c>
      <c r="E271" s="71" t="str">
        <f t="shared" si="40"/>
        <v/>
      </c>
      <c r="F271" s="71" t="str">
        <f t="shared" si="41"/>
        <v/>
      </c>
      <c r="G271" s="71" t="str">
        <f t="shared" si="42"/>
        <v/>
      </c>
      <c r="AF271" s="77" t="str">
        <f t="shared" si="43"/>
        <v/>
      </c>
      <c r="AG271" s="82" t="str">
        <f>IF(OR(AA271="",AA271="Grand Total"),"",VLOOKUP(AA271,'Team Details'!B:C,2,0))</f>
        <v/>
      </c>
      <c r="AH271" s="81" t="str">
        <f>IF(OR(AA271="",AA271="Grand Total"),"",(IF(OR('Setup Parameters'!$C$6 = "SW Agile",'Setup Parameters'!$I$6 = "SW Agile"),"Story Point","Complexity Point")))</f>
        <v/>
      </c>
      <c r="AI271" s="81" t="str">
        <f t="shared" si="44"/>
        <v/>
      </c>
    </row>
    <row r="272" spans="1:35" x14ac:dyDescent="0.25">
      <c r="A272" s="69" t="str">
        <f t="shared" si="39"/>
        <v/>
      </c>
      <c r="B272" s="70" t="str">
        <f t="shared" si="36"/>
        <v/>
      </c>
      <c r="C272" s="71" t="str">
        <f t="shared" si="37"/>
        <v/>
      </c>
      <c r="D272" s="71" t="str">
        <f t="shared" si="38"/>
        <v/>
      </c>
      <c r="E272" s="71" t="str">
        <f t="shared" si="40"/>
        <v/>
      </c>
      <c r="F272" s="71" t="str">
        <f t="shared" si="41"/>
        <v/>
      </c>
      <c r="G272" s="71" t="str">
        <f t="shared" si="42"/>
        <v/>
      </c>
      <c r="AF272" s="77" t="str">
        <f t="shared" si="43"/>
        <v/>
      </c>
      <c r="AG272" s="82" t="str">
        <f>IF(OR(AA272="",AA272="Grand Total"),"",VLOOKUP(AA272,'Team Details'!B:C,2,0))</f>
        <v/>
      </c>
      <c r="AH272" s="81" t="str">
        <f>IF(OR(AA272="",AA272="Grand Total"),"",(IF(OR('Setup Parameters'!$C$6 = "SW Agile",'Setup Parameters'!$I$6 = "SW Agile"),"Story Point","Complexity Point")))</f>
        <v/>
      </c>
      <c r="AI272" s="81" t="str">
        <f t="shared" si="44"/>
        <v/>
      </c>
    </row>
    <row r="273" spans="1:35" x14ac:dyDescent="0.25">
      <c r="A273" s="69" t="str">
        <f t="shared" si="39"/>
        <v/>
      </c>
      <c r="B273" s="70" t="str">
        <f t="shared" si="36"/>
        <v/>
      </c>
      <c r="C273" s="71" t="str">
        <f t="shared" si="37"/>
        <v/>
      </c>
      <c r="D273" s="71" t="str">
        <f t="shared" si="38"/>
        <v/>
      </c>
      <c r="E273" s="71" t="str">
        <f t="shared" si="40"/>
        <v/>
      </c>
      <c r="F273" s="71" t="str">
        <f t="shared" si="41"/>
        <v/>
      </c>
      <c r="G273" s="71" t="str">
        <f t="shared" si="42"/>
        <v/>
      </c>
      <c r="AF273" s="77" t="str">
        <f t="shared" si="43"/>
        <v/>
      </c>
      <c r="AG273" s="82" t="str">
        <f>IF(OR(AA273="",AA273="Grand Total"),"",VLOOKUP(AA273,'Team Details'!B:C,2,0))</f>
        <v/>
      </c>
      <c r="AH273" s="81" t="str">
        <f>IF(OR(AA273="",AA273="Grand Total"),"",(IF(OR('Setup Parameters'!$C$6 = "SW Agile",'Setup Parameters'!$I$6 = "SW Agile"),"Story Point","Complexity Point")))</f>
        <v/>
      </c>
      <c r="AI273" s="81" t="str">
        <f t="shared" si="44"/>
        <v/>
      </c>
    </row>
    <row r="274" spans="1:35" x14ac:dyDescent="0.25">
      <c r="A274" s="69" t="str">
        <f t="shared" si="39"/>
        <v/>
      </c>
      <c r="B274" s="70" t="str">
        <f t="shared" si="36"/>
        <v/>
      </c>
      <c r="C274" s="71" t="str">
        <f t="shared" si="37"/>
        <v/>
      </c>
      <c r="D274" s="71" t="str">
        <f t="shared" si="38"/>
        <v/>
      </c>
      <c r="E274" s="71" t="str">
        <f t="shared" si="40"/>
        <v/>
      </c>
      <c r="F274" s="71" t="str">
        <f t="shared" si="41"/>
        <v/>
      </c>
      <c r="G274" s="71" t="str">
        <f t="shared" si="42"/>
        <v/>
      </c>
      <c r="AF274" s="77" t="str">
        <f t="shared" si="43"/>
        <v/>
      </c>
      <c r="AG274" s="82" t="str">
        <f>IF(OR(AA274="",AA274="Grand Total"),"",VLOOKUP(AA274,'Team Details'!B:C,2,0))</f>
        <v/>
      </c>
      <c r="AH274" s="81" t="str">
        <f>IF(OR(AA274="",AA274="Grand Total"),"",(IF(OR('Setup Parameters'!$C$6 = "SW Agile",'Setup Parameters'!$I$6 = "SW Agile"),"Story Point","Complexity Point")))</f>
        <v/>
      </c>
      <c r="AI274" s="81" t="str">
        <f t="shared" si="44"/>
        <v/>
      </c>
    </row>
    <row r="275" spans="1:35" x14ac:dyDescent="0.25">
      <c r="A275" s="69" t="str">
        <f t="shared" si="39"/>
        <v/>
      </c>
      <c r="B275" s="70" t="str">
        <f t="shared" si="36"/>
        <v/>
      </c>
      <c r="C275" s="71" t="str">
        <f t="shared" si="37"/>
        <v/>
      </c>
      <c r="D275" s="71" t="str">
        <f t="shared" si="38"/>
        <v/>
      </c>
      <c r="E275" s="71" t="str">
        <f t="shared" si="40"/>
        <v/>
      </c>
      <c r="F275" s="71" t="str">
        <f t="shared" si="41"/>
        <v/>
      </c>
      <c r="G275" s="71" t="str">
        <f t="shared" si="42"/>
        <v/>
      </c>
      <c r="AF275" s="77" t="str">
        <f t="shared" si="43"/>
        <v/>
      </c>
      <c r="AG275" s="82" t="str">
        <f>IF(OR(AA275="",AA275="Grand Total"),"",VLOOKUP(AA275,'Team Details'!B:C,2,0))</f>
        <v/>
      </c>
      <c r="AH275" s="81" t="str">
        <f>IF(OR(AA275="",AA275="Grand Total"),"",(IF(OR('Setup Parameters'!$C$6 = "SW Agile",'Setup Parameters'!$I$6 = "SW Agile"),"Story Point","Complexity Point")))</f>
        <v/>
      </c>
      <c r="AI275" s="81" t="str">
        <f t="shared" si="44"/>
        <v/>
      </c>
    </row>
    <row r="276" spans="1:35" x14ac:dyDescent="0.25">
      <c r="A276" s="69" t="str">
        <f t="shared" si="39"/>
        <v/>
      </c>
      <c r="B276" s="70" t="str">
        <f t="shared" si="36"/>
        <v/>
      </c>
      <c r="C276" s="71" t="str">
        <f t="shared" si="37"/>
        <v/>
      </c>
      <c r="D276" s="71" t="str">
        <f t="shared" si="38"/>
        <v/>
      </c>
      <c r="E276" s="71" t="str">
        <f t="shared" si="40"/>
        <v/>
      </c>
      <c r="F276" s="71" t="str">
        <f t="shared" si="41"/>
        <v/>
      </c>
      <c r="G276" s="71" t="str">
        <f t="shared" si="42"/>
        <v/>
      </c>
      <c r="AF276" s="77" t="str">
        <f t="shared" si="43"/>
        <v/>
      </c>
      <c r="AG276" s="82" t="str">
        <f>IF(OR(AA276="",AA276="Grand Total"),"",VLOOKUP(AA276,'Team Details'!B:C,2,0))</f>
        <v/>
      </c>
      <c r="AH276" s="81" t="str">
        <f>IF(OR(AA276="",AA276="Grand Total"),"",(IF(OR('Setup Parameters'!$C$6 = "SW Agile",'Setup Parameters'!$I$6 = "SW Agile"),"Story Point","Complexity Point")))</f>
        <v/>
      </c>
      <c r="AI276" s="81" t="str">
        <f t="shared" si="44"/>
        <v/>
      </c>
    </row>
    <row r="277" spans="1:35" x14ac:dyDescent="0.25">
      <c r="A277" s="69" t="str">
        <f t="shared" si="39"/>
        <v/>
      </c>
      <c r="B277" s="70" t="str">
        <f t="shared" si="36"/>
        <v/>
      </c>
      <c r="C277" s="71" t="str">
        <f t="shared" si="37"/>
        <v/>
      </c>
      <c r="D277" s="71" t="str">
        <f t="shared" si="38"/>
        <v/>
      </c>
      <c r="E277" s="71" t="str">
        <f t="shared" si="40"/>
        <v/>
      </c>
      <c r="F277" s="71" t="str">
        <f t="shared" si="41"/>
        <v/>
      </c>
      <c r="G277" s="71" t="str">
        <f t="shared" si="42"/>
        <v/>
      </c>
      <c r="AF277" s="77" t="str">
        <f t="shared" si="43"/>
        <v/>
      </c>
      <c r="AG277" s="82" t="str">
        <f>IF(OR(AA277="",AA277="Grand Total"),"",VLOOKUP(AA277,'Team Details'!B:C,2,0))</f>
        <v/>
      </c>
      <c r="AH277" s="81" t="str">
        <f>IF(OR(AA277="",AA277="Grand Total"),"",(IF(OR('Setup Parameters'!$C$6 = "SW Agile",'Setup Parameters'!$I$6 = "SW Agile"),"Story Point","Complexity Point")))</f>
        <v/>
      </c>
      <c r="AI277" s="81" t="str">
        <f t="shared" si="44"/>
        <v/>
      </c>
    </row>
    <row r="278" spans="1:35" x14ac:dyDescent="0.25">
      <c r="A278" s="69" t="str">
        <f t="shared" si="39"/>
        <v/>
      </c>
      <c r="B278" s="70" t="str">
        <f t="shared" si="36"/>
        <v/>
      </c>
      <c r="C278" s="71" t="str">
        <f t="shared" si="37"/>
        <v/>
      </c>
      <c r="D278" s="71" t="str">
        <f t="shared" si="38"/>
        <v/>
      </c>
      <c r="E278" s="71" t="str">
        <f t="shared" si="40"/>
        <v/>
      </c>
      <c r="F278" s="71" t="str">
        <f t="shared" si="41"/>
        <v/>
      </c>
      <c r="G278" s="71" t="str">
        <f t="shared" si="42"/>
        <v/>
      </c>
      <c r="AF278" s="77" t="str">
        <f t="shared" si="43"/>
        <v/>
      </c>
      <c r="AG278" s="82" t="str">
        <f>IF(OR(AA278="",AA278="Grand Total"),"",VLOOKUP(AA278,'Team Details'!B:C,2,0))</f>
        <v/>
      </c>
      <c r="AH278" s="81" t="str">
        <f>IF(OR(AA278="",AA278="Grand Total"),"",(IF(OR('Setup Parameters'!$C$6 = "SW Agile",'Setup Parameters'!$I$6 = "SW Agile"),"Story Point","Complexity Point")))</f>
        <v/>
      </c>
      <c r="AI278" s="81" t="str">
        <f t="shared" si="44"/>
        <v/>
      </c>
    </row>
    <row r="279" spans="1:35" x14ac:dyDescent="0.25">
      <c r="A279" s="69" t="str">
        <f t="shared" si="39"/>
        <v/>
      </c>
      <c r="B279" s="70" t="str">
        <f t="shared" si="36"/>
        <v/>
      </c>
      <c r="C279" s="71" t="str">
        <f t="shared" si="37"/>
        <v/>
      </c>
      <c r="D279" s="71" t="str">
        <f t="shared" si="38"/>
        <v/>
      </c>
      <c r="E279" s="71" t="str">
        <f t="shared" si="40"/>
        <v/>
      </c>
      <c r="F279" s="71" t="str">
        <f t="shared" si="41"/>
        <v/>
      </c>
      <c r="G279" s="71" t="str">
        <f t="shared" si="42"/>
        <v/>
      </c>
      <c r="AF279" s="77" t="str">
        <f t="shared" si="43"/>
        <v/>
      </c>
      <c r="AG279" s="82" t="str">
        <f>IF(OR(AA279="",AA279="Grand Total"),"",VLOOKUP(AA279,'Team Details'!B:C,2,0))</f>
        <v/>
      </c>
      <c r="AH279" s="81" t="str">
        <f>IF(OR(AA279="",AA279="Grand Total"),"",(IF(OR('Setup Parameters'!$C$6 = "SW Agile",'Setup Parameters'!$I$6 = "SW Agile"),"Story Point","Complexity Point")))</f>
        <v/>
      </c>
      <c r="AI279" s="81" t="str">
        <f t="shared" si="44"/>
        <v/>
      </c>
    </row>
    <row r="280" spans="1:35" x14ac:dyDescent="0.25">
      <c r="A280" s="69" t="str">
        <f t="shared" si="39"/>
        <v/>
      </c>
      <c r="B280" s="70" t="str">
        <f t="shared" si="36"/>
        <v/>
      </c>
      <c r="C280" s="71" t="str">
        <f t="shared" si="37"/>
        <v/>
      </c>
      <c r="D280" s="71" t="str">
        <f t="shared" si="38"/>
        <v/>
      </c>
      <c r="E280" s="71" t="str">
        <f t="shared" si="40"/>
        <v/>
      </c>
      <c r="F280" s="71" t="str">
        <f t="shared" si="41"/>
        <v/>
      </c>
      <c r="G280" s="71" t="str">
        <f t="shared" si="42"/>
        <v/>
      </c>
      <c r="AF280" s="77" t="str">
        <f t="shared" si="43"/>
        <v/>
      </c>
      <c r="AG280" s="82" t="str">
        <f>IF(OR(AA280="",AA280="Grand Total"),"",VLOOKUP(AA280,'Team Details'!B:C,2,0))</f>
        <v/>
      </c>
      <c r="AH280" s="81" t="str">
        <f>IF(OR(AA280="",AA280="Grand Total"),"",(IF(OR('Setup Parameters'!$C$6 = "SW Agile",'Setup Parameters'!$I$6 = "SW Agile"),"Story Point","Complexity Point")))</f>
        <v/>
      </c>
      <c r="AI280" s="81" t="str">
        <f t="shared" si="44"/>
        <v/>
      </c>
    </row>
    <row r="281" spans="1:35" x14ac:dyDescent="0.25">
      <c r="A281" s="69" t="str">
        <f t="shared" si="39"/>
        <v/>
      </c>
      <c r="B281" s="70" t="str">
        <f t="shared" si="36"/>
        <v/>
      </c>
      <c r="C281" s="71" t="str">
        <f t="shared" si="37"/>
        <v/>
      </c>
      <c r="D281" s="71" t="str">
        <f t="shared" si="38"/>
        <v/>
      </c>
      <c r="E281" s="71" t="str">
        <f t="shared" si="40"/>
        <v/>
      </c>
      <c r="F281" s="71" t="str">
        <f t="shared" si="41"/>
        <v/>
      </c>
      <c r="G281" s="71" t="str">
        <f t="shared" si="42"/>
        <v/>
      </c>
      <c r="AF281" s="77" t="str">
        <f t="shared" si="43"/>
        <v/>
      </c>
      <c r="AG281" s="82" t="str">
        <f>IF(OR(AA281="",AA281="Grand Total"),"",VLOOKUP(AA281,'Team Details'!B:C,2,0))</f>
        <v/>
      </c>
      <c r="AH281" s="81" t="str">
        <f>IF(OR(AA281="",AA281="Grand Total"),"",(IF(OR('Setup Parameters'!$C$6 = "SW Agile",'Setup Parameters'!$I$6 = "SW Agile"),"Story Point","Complexity Point")))</f>
        <v/>
      </c>
      <c r="AI281" s="81" t="str">
        <f t="shared" si="44"/>
        <v/>
      </c>
    </row>
    <row r="282" spans="1:35" x14ac:dyDescent="0.25">
      <c r="A282" s="69" t="str">
        <f t="shared" si="39"/>
        <v/>
      </c>
      <c r="B282" s="70" t="str">
        <f t="shared" si="36"/>
        <v/>
      </c>
      <c r="C282" s="71" t="str">
        <f t="shared" si="37"/>
        <v/>
      </c>
      <c r="D282" s="71" t="str">
        <f t="shared" si="38"/>
        <v/>
      </c>
      <c r="E282" s="71" t="str">
        <f t="shared" si="40"/>
        <v/>
      </c>
      <c r="F282" s="71" t="str">
        <f t="shared" si="41"/>
        <v/>
      </c>
      <c r="G282" s="71" t="str">
        <f t="shared" si="42"/>
        <v/>
      </c>
      <c r="AF282" s="77" t="str">
        <f t="shared" si="43"/>
        <v/>
      </c>
      <c r="AG282" s="82" t="str">
        <f>IF(OR(AA282="",AA282="Grand Total"),"",VLOOKUP(AA282,'Team Details'!B:C,2,0))</f>
        <v/>
      </c>
      <c r="AH282" s="81" t="str">
        <f>IF(OR(AA282="",AA282="Grand Total"),"",(IF(OR('Setup Parameters'!$C$6 = "SW Agile",'Setup Parameters'!$I$6 = "SW Agile"),"Story Point","Complexity Point")))</f>
        <v/>
      </c>
      <c r="AI282" s="81" t="str">
        <f t="shared" si="44"/>
        <v/>
      </c>
    </row>
    <row r="283" spans="1:35" x14ac:dyDescent="0.25">
      <c r="A283" s="69" t="str">
        <f t="shared" si="39"/>
        <v/>
      </c>
      <c r="B283" s="70" t="str">
        <f t="shared" si="36"/>
        <v/>
      </c>
      <c r="C283" s="71" t="str">
        <f t="shared" si="37"/>
        <v/>
      </c>
      <c r="D283" s="71" t="str">
        <f t="shared" si="38"/>
        <v/>
      </c>
      <c r="E283" s="71" t="str">
        <f t="shared" si="40"/>
        <v/>
      </c>
      <c r="F283" s="71" t="str">
        <f t="shared" si="41"/>
        <v/>
      </c>
      <c r="G283" s="71" t="str">
        <f t="shared" si="42"/>
        <v/>
      </c>
      <c r="AF283" s="77" t="str">
        <f t="shared" si="43"/>
        <v/>
      </c>
      <c r="AG283" s="82" t="str">
        <f>IF(OR(AA283="",AA283="Grand Total"),"",VLOOKUP(AA283,'Team Details'!B:C,2,0))</f>
        <v/>
      </c>
      <c r="AH283" s="81" t="str">
        <f>IF(OR(AA283="",AA283="Grand Total"),"",(IF(OR('Setup Parameters'!$C$6 = "SW Agile",'Setup Parameters'!$I$6 = "SW Agile"),"Story Point","Complexity Point")))</f>
        <v/>
      </c>
      <c r="AI283" s="81" t="str">
        <f t="shared" si="44"/>
        <v/>
      </c>
    </row>
    <row r="284" spans="1:35" x14ac:dyDescent="0.25">
      <c r="A284" s="69" t="str">
        <f t="shared" si="39"/>
        <v/>
      </c>
      <c r="B284" s="70" t="str">
        <f t="shared" si="36"/>
        <v/>
      </c>
      <c r="C284" s="71" t="str">
        <f t="shared" si="37"/>
        <v/>
      </c>
      <c r="D284" s="71" t="str">
        <f t="shared" si="38"/>
        <v/>
      </c>
      <c r="E284" s="71" t="str">
        <f t="shared" si="40"/>
        <v/>
      </c>
      <c r="F284" s="71" t="str">
        <f t="shared" si="41"/>
        <v/>
      </c>
      <c r="G284" s="71" t="str">
        <f t="shared" si="42"/>
        <v/>
      </c>
      <c r="AF284" s="77" t="str">
        <f t="shared" si="43"/>
        <v/>
      </c>
      <c r="AG284" s="82" t="str">
        <f>IF(OR(AA284="",AA284="Grand Total"),"",VLOOKUP(AA284,'Team Details'!B:C,2,0))</f>
        <v/>
      </c>
      <c r="AH284" s="81" t="str">
        <f>IF(OR(AA284="",AA284="Grand Total"),"",(IF(OR('Setup Parameters'!$C$6 = "SW Agile",'Setup Parameters'!$I$6 = "SW Agile"),"Story Point","Complexity Point")))</f>
        <v/>
      </c>
      <c r="AI284" s="81" t="str">
        <f t="shared" si="44"/>
        <v/>
      </c>
    </row>
    <row r="285" spans="1:35" x14ac:dyDescent="0.25">
      <c r="A285" s="69" t="str">
        <f t="shared" si="39"/>
        <v/>
      </c>
      <c r="B285" s="70" t="str">
        <f t="shared" si="36"/>
        <v/>
      </c>
      <c r="C285" s="71" t="str">
        <f t="shared" si="37"/>
        <v/>
      </c>
      <c r="D285" s="71" t="str">
        <f t="shared" si="38"/>
        <v/>
      </c>
      <c r="E285" s="71" t="str">
        <f t="shared" si="40"/>
        <v/>
      </c>
      <c r="F285" s="71" t="str">
        <f t="shared" si="41"/>
        <v/>
      </c>
      <c r="G285" s="71" t="str">
        <f t="shared" si="42"/>
        <v/>
      </c>
      <c r="AF285" s="77" t="str">
        <f t="shared" si="43"/>
        <v/>
      </c>
      <c r="AG285" s="82" t="str">
        <f>IF(OR(AA285="",AA285="Grand Total"),"",VLOOKUP(AA285,'Team Details'!B:C,2,0))</f>
        <v/>
      </c>
      <c r="AH285" s="81" t="str">
        <f>IF(OR(AA285="",AA285="Grand Total"),"",(IF(OR('Setup Parameters'!$C$6 = "SW Agile",'Setup Parameters'!$I$6 = "SW Agile"),"Story Point","Complexity Point")))</f>
        <v/>
      </c>
      <c r="AI285" s="81" t="str">
        <f t="shared" si="44"/>
        <v/>
      </c>
    </row>
    <row r="286" spans="1:35" x14ac:dyDescent="0.25">
      <c r="A286" s="69" t="str">
        <f t="shared" si="39"/>
        <v/>
      </c>
      <c r="B286" s="70" t="str">
        <f t="shared" si="36"/>
        <v/>
      </c>
      <c r="C286" s="71" t="str">
        <f t="shared" si="37"/>
        <v/>
      </c>
      <c r="D286" s="71" t="str">
        <f t="shared" si="38"/>
        <v/>
      </c>
      <c r="E286" s="71" t="str">
        <f t="shared" si="40"/>
        <v/>
      </c>
      <c r="F286" s="71" t="str">
        <f t="shared" si="41"/>
        <v/>
      </c>
      <c r="G286" s="71" t="str">
        <f t="shared" si="42"/>
        <v/>
      </c>
      <c r="AF286" s="77" t="str">
        <f t="shared" si="43"/>
        <v/>
      </c>
      <c r="AG286" s="82" t="str">
        <f>IF(OR(AA286="",AA286="Grand Total"),"",VLOOKUP(AA286,'Team Details'!B:C,2,0))</f>
        <v/>
      </c>
      <c r="AH286" s="81" t="str">
        <f>IF(OR(AA286="",AA286="Grand Total"),"",(IF(OR('Setup Parameters'!$C$6 = "SW Agile",'Setup Parameters'!$I$6 = "SW Agile"),"Story Point","Complexity Point")))</f>
        <v/>
      </c>
      <c r="AI286" s="81" t="str">
        <f t="shared" si="44"/>
        <v/>
      </c>
    </row>
    <row r="287" spans="1:35" x14ac:dyDescent="0.25">
      <c r="A287" s="69" t="str">
        <f t="shared" si="39"/>
        <v/>
      </c>
      <c r="B287" s="70" t="str">
        <f t="shared" si="36"/>
        <v/>
      </c>
      <c r="C287" s="71" t="str">
        <f t="shared" si="37"/>
        <v/>
      </c>
      <c r="D287" s="71" t="str">
        <f t="shared" si="38"/>
        <v/>
      </c>
      <c r="E287" s="71" t="str">
        <f t="shared" si="40"/>
        <v/>
      </c>
      <c r="F287" s="71" t="str">
        <f t="shared" si="41"/>
        <v/>
      </c>
      <c r="G287" s="71" t="str">
        <f t="shared" si="42"/>
        <v/>
      </c>
      <c r="AF287" s="77" t="str">
        <f t="shared" si="43"/>
        <v/>
      </c>
      <c r="AG287" s="82" t="str">
        <f>IF(OR(AA287="",AA287="Grand Total"),"",VLOOKUP(AA287,'Team Details'!B:C,2,0))</f>
        <v/>
      </c>
      <c r="AH287" s="81" t="str">
        <f>IF(OR(AA287="",AA287="Grand Total"),"",(IF(OR('Setup Parameters'!$C$6 = "SW Agile",'Setup Parameters'!$I$6 = "SW Agile"),"Story Point","Complexity Point")))</f>
        <v/>
      </c>
      <c r="AI287" s="81" t="str">
        <f t="shared" si="44"/>
        <v/>
      </c>
    </row>
    <row r="288" spans="1:35" x14ac:dyDescent="0.25">
      <c r="A288" s="69" t="str">
        <f t="shared" si="39"/>
        <v/>
      </c>
      <c r="B288" s="70" t="str">
        <f t="shared" si="36"/>
        <v/>
      </c>
      <c r="C288" s="71" t="str">
        <f t="shared" si="37"/>
        <v/>
      </c>
      <c r="D288" s="71" t="str">
        <f t="shared" si="38"/>
        <v/>
      </c>
      <c r="E288" s="71" t="str">
        <f t="shared" si="40"/>
        <v/>
      </c>
      <c r="F288" s="71" t="str">
        <f t="shared" si="41"/>
        <v/>
      </c>
      <c r="G288" s="71" t="str">
        <f t="shared" si="42"/>
        <v/>
      </c>
      <c r="AF288" s="77" t="str">
        <f t="shared" si="43"/>
        <v/>
      </c>
      <c r="AG288" s="82" t="str">
        <f>IF(OR(AA288="",AA288="Grand Total"),"",VLOOKUP(AA288,'Team Details'!B:C,2,0))</f>
        <v/>
      </c>
      <c r="AH288" s="81" t="str">
        <f>IF(OR(AA288="",AA288="Grand Total"),"",(IF(OR('Setup Parameters'!$C$6 = "SW Agile",'Setup Parameters'!$I$6 = "SW Agile"),"Story Point","Complexity Point")))</f>
        <v/>
      </c>
      <c r="AI288" s="81" t="str">
        <f t="shared" si="44"/>
        <v/>
      </c>
    </row>
    <row r="289" spans="1:35" x14ac:dyDescent="0.25">
      <c r="A289" s="69" t="str">
        <f t="shared" si="39"/>
        <v/>
      </c>
      <c r="B289" s="70" t="str">
        <f t="shared" si="36"/>
        <v/>
      </c>
      <c r="C289" s="71" t="str">
        <f t="shared" si="37"/>
        <v/>
      </c>
      <c r="D289" s="71" t="str">
        <f t="shared" si="38"/>
        <v/>
      </c>
      <c r="E289" s="71" t="str">
        <f t="shared" si="40"/>
        <v/>
      </c>
      <c r="F289" s="71" t="str">
        <f t="shared" si="41"/>
        <v/>
      </c>
      <c r="G289" s="71" t="str">
        <f t="shared" si="42"/>
        <v/>
      </c>
      <c r="AF289" s="77" t="str">
        <f t="shared" si="43"/>
        <v/>
      </c>
      <c r="AG289" s="82" t="str">
        <f>IF(OR(AA289="",AA289="Grand Total"),"",VLOOKUP(AA289,'Team Details'!B:C,2,0))</f>
        <v/>
      </c>
      <c r="AH289" s="81" t="str">
        <f>IF(OR(AA289="",AA289="Grand Total"),"",(IF(OR('Setup Parameters'!$C$6 = "SW Agile",'Setup Parameters'!$I$6 = "SW Agile"),"Story Point","Complexity Point")))</f>
        <v/>
      </c>
      <c r="AI289" s="81" t="str">
        <f t="shared" si="44"/>
        <v/>
      </c>
    </row>
    <row r="290" spans="1:35" x14ac:dyDescent="0.25">
      <c r="A290" s="69" t="str">
        <f t="shared" si="39"/>
        <v/>
      </c>
      <c r="B290" s="70" t="str">
        <f t="shared" si="36"/>
        <v/>
      </c>
      <c r="C290" s="71" t="str">
        <f t="shared" si="37"/>
        <v/>
      </c>
      <c r="D290" s="71" t="str">
        <f t="shared" si="38"/>
        <v/>
      </c>
      <c r="E290" s="71" t="str">
        <f t="shared" si="40"/>
        <v/>
      </c>
      <c r="F290" s="71" t="str">
        <f t="shared" si="41"/>
        <v/>
      </c>
      <c r="G290" s="71" t="str">
        <f t="shared" si="42"/>
        <v/>
      </c>
      <c r="AF290" s="77" t="str">
        <f t="shared" si="43"/>
        <v/>
      </c>
      <c r="AG290" s="82" t="str">
        <f>IF(OR(AA290="",AA290="Grand Total"),"",VLOOKUP(AA290,'Team Details'!B:C,2,0))</f>
        <v/>
      </c>
      <c r="AH290" s="81" t="str">
        <f>IF(OR(AA290="",AA290="Grand Total"),"",(IF(OR('Setup Parameters'!$C$6 = "SW Agile",'Setup Parameters'!$I$6 = "SW Agile"),"Story Point","Complexity Point")))</f>
        <v/>
      </c>
      <c r="AI290" s="81" t="str">
        <f t="shared" si="44"/>
        <v/>
      </c>
    </row>
    <row r="291" spans="1:35" x14ac:dyDescent="0.25">
      <c r="A291" s="69" t="str">
        <f t="shared" si="39"/>
        <v/>
      </c>
      <c r="B291" s="70" t="str">
        <f t="shared" si="36"/>
        <v/>
      </c>
      <c r="C291" s="71" t="str">
        <f t="shared" si="37"/>
        <v/>
      </c>
      <c r="D291" s="71" t="str">
        <f t="shared" si="38"/>
        <v/>
      </c>
      <c r="E291" s="71" t="str">
        <f t="shared" si="40"/>
        <v/>
      </c>
      <c r="F291" s="71" t="str">
        <f t="shared" si="41"/>
        <v/>
      </c>
      <c r="G291" s="71" t="str">
        <f t="shared" si="42"/>
        <v/>
      </c>
      <c r="AF291" s="77" t="str">
        <f t="shared" si="43"/>
        <v/>
      </c>
      <c r="AG291" s="82" t="str">
        <f>IF(OR(AA291="",AA291="Grand Total"),"",VLOOKUP(AA291,'Team Details'!B:C,2,0))</f>
        <v/>
      </c>
      <c r="AH291" s="81" t="str">
        <f>IF(OR(AA291="",AA291="Grand Total"),"",(IF(OR('Setup Parameters'!$C$6 = "SW Agile",'Setup Parameters'!$I$6 = "SW Agile"),"Story Point","Complexity Point")))</f>
        <v/>
      </c>
      <c r="AI291" s="81" t="str">
        <f t="shared" si="44"/>
        <v/>
      </c>
    </row>
    <row r="292" spans="1:35" x14ac:dyDescent="0.25">
      <c r="A292" s="69" t="str">
        <f t="shared" si="39"/>
        <v/>
      </c>
      <c r="B292" s="70" t="str">
        <f t="shared" si="36"/>
        <v/>
      </c>
      <c r="C292" s="71" t="str">
        <f t="shared" si="37"/>
        <v/>
      </c>
      <c r="D292" s="71" t="str">
        <f t="shared" si="38"/>
        <v/>
      </c>
      <c r="E292" s="71" t="str">
        <f t="shared" si="40"/>
        <v/>
      </c>
      <c r="F292" s="71" t="str">
        <f t="shared" si="41"/>
        <v/>
      </c>
      <c r="G292" s="71" t="str">
        <f t="shared" si="42"/>
        <v/>
      </c>
      <c r="AF292" s="77" t="str">
        <f t="shared" si="43"/>
        <v/>
      </c>
      <c r="AG292" s="82" t="str">
        <f>IF(OR(AA292="",AA292="Grand Total"),"",VLOOKUP(AA292,'Team Details'!B:C,2,0))</f>
        <v/>
      </c>
      <c r="AH292" s="81" t="str">
        <f>IF(OR(AA292="",AA292="Grand Total"),"",(IF(OR('Setup Parameters'!$C$6 = "SW Agile",'Setup Parameters'!$I$6 = "SW Agile"),"Story Point","Complexity Point")))</f>
        <v/>
      </c>
      <c r="AI292" s="81" t="str">
        <f t="shared" si="44"/>
        <v/>
      </c>
    </row>
    <row r="293" spans="1:35" x14ac:dyDescent="0.25">
      <c r="A293" s="69" t="str">
        <f t="shared" si="39"/>
        <v/>
      </c>
      <c r="B293" s="70" t="str">
        <f t="shared" si="36"/>
        <v/>
      </c>
      <c r="C293" s="71" t="str">
        <f t="shared" si="37"/>
        <v/>
      </c>
      <c r="D293" s="71" t="str">
        <f t="shared" si="38"/>
        <v/>
      </c>
      <c r="E293" s="71" t="str">
        <f t="shared" si="40"/>
        <v/>
      </c>
      <c r="F293" s="71" t="str">
        <f t="shared" si="41"/>
        <v/>
      </c>
      <c r="G293" s="71" t="str">
        <f t="shared" si="42"/>
        <v/>
      </c>
      <c r="AF293" s="77" t="str">
        <f t="shared" si="43"/>
        <v/>
      </c>
      <c r="AG293" s="82" t="str">
        <f>IF(OR(AA293="",AA293="Grand Total"),"",VLOOKUP(AA293,'Team Details'!B:C,2,0))</f>
        <v/>
      </c>
      <c r="AH293" s="81" t="str">
        <f>IF(OR(AA293="",AA293="Grand Total"),"",(IF(OR('Setup Parameters'!$C$6 = "SW Agile",'Setup Parameters'!$I$6 = "SW Agile"),"Story Point","Complexity Point")))</f>
        <v/>
      </c>
      <c r="AI293" s="81" t="str">
        <f t="shared" si="44"/>
        <v/>
      </c>
    </row>
    <row r="294" spans="1:35" x14ac:dyDescent="0.25">
      <c r="A294" s="72"/>
      <c r="C294" s="74"/>
      <c r="D294" s="74"/>
      <c r="E294" s="74"/>
      <c r="F294" s="74"/>
      <c r="G294" s="74"/>
      <c r="AF294" s="77" t="str">
        <f t="shared" si="43"/>
        <v/>
      </c>
      <c r="AG294" s="82" t="str">
        <f>IF(OR(AA294="",AA294="Grand Total"),"",VLOOKUP(AA294,'Team Details'!B:C,2,0))</f>
        <v/>
      </c>
      <c r="AH294" s="81" t="str">
        <f>IF(OR(AA294="",AA294="Grand Total"),"",(IF(OR('Setup Parameters'!$C$6 = "SW Agile",'Setup Parameters'!$I$6 = "SW Agile"),"Story Point","Complexity Point")))</f>
        <v/>
      </c>
      <c r="AI294" s="81" t="str">
        <f t="shared" si="44"/>
        <v/>
      </c>
    </row>
    <row r="295" spans="1:35" x14ac:dyDescent="0.25">
      <c r="A295" s="72"/>
      <c r="C295" s="74"/>
      <c r="D295" s="74"/>
      <c r="E295" s="74"/>
      <c r="F295" s="74"/>
      <c r="G295" s="74"/>
      <c r="AF295" s="77" t="str">
        <f t="shared" si="43"/>
        <v/>
      </c>
      <c r="AG295" s="82" t="str">
        <f>IF(OR(AA295="",AA295="Grand Total"),"",VLOOKUP(AA295,'Team Details'!B:C,2,0))</f>
        <v/>
      </c>
      <c r="AH295" s="81" t="str">
        <f>IF(OR(AA295="",AA295="Grand Total"),"",(IF(OR('Setup Parameters'!$C$6 = "SW Agile",'Setup Parameters'!$I$6 = "SW Agile"),"Story Point","Complexity Point")))</f>
        <v/>
      </c>
      <c r="AI295" s="81" t="str">
        <f t="shared" si="44"/>
        <v/>
      </c>
    </row>
    <row r="296" spans="1:35" x14ac:dyDescent="0.25">
      <c r="A296" s="72"/>
      <c r="C296" s="74"/>
      <c r="D296" s="74"/>
      <c r="E296" s="74"/>
      <c r="F296" s="74"/>
      <c r="G296" s="74"/>
      <c r="AF296" s="77" t="str">
        <f t="shared" si="43"/>
        <v/>
      </c>
      <c r="AG296" s="82" t="str">
        <f>IF(OR(AA296="",AA296="Grand Total"),"",VLOOKUP(AA296,'Team Details'!B:C,2,0))</f>
        <v/>
      </c>
      <c r="AH296" s="81" t="str">
        <f>IF(OR(AA296="",AA296="Grand Total"),"",(IF(OR('Setup Parameters'!$C$6 = "SW Agile",'Setup Parameters'!$I$6 = "SW Agile"),"Story Point","Complexity Point")))</f>
        <v/>
      </c>
      <c r="AI296" s="81" t="str">
        <f t="shared" si="44"/>
        <v/>
      </c>
    </row>
    <row r="297" spans="1:35" x14ac:dyDescent="0.25">
      <c r="AF297" s="77" t="str">
        <f t="shared" si="43"/>
        <v/>
      </c>
      <c r="AG297" s="82" t="str">
        <f>IF(OR(AA297="",AA297="Grand Total"),"",VLOOKUP(AA297,'Team Details'!B:C,2,0))</f>
        <v/>
      </c>
      <c r="AH297" s="81" t="str">
        <f>IF(OR(AA297="",AA297="Grand Total"),"",(IF(OR('Setup Parameters'!$C$6 = "SW Agile",'Setup Parameters'!$I$6 = "SW Agile"),"Story Point","Complexity Point")))</f>
        <v/>
      </c>
      <c r="AI297" s="81" t="str">
        <f t="shared" si="44"/>
        <v/>
      </c>
    </row>
    <row r="298" spans="1:35" x14ac:dyDescent="0.25">
      <c r="AF298" s="77" t="str">
        <f t="shared" si="43"/>
        <v/>
      </c>
      <c r="AG298" s="82" t="str">
        <f>IF(OR(AA298="",AA298="Grand Total"),"",VLOOKUP(AA298,'Team Details'!B:C,2,0))</f>
        <v/>
      </c>
      <c r="AH298" s="81" t="str">
        <f>IF(OR(AA298="",AA298="Grand Total"),"",(IF(OR('Setup Parameters'!$C$6 = "SW Agile",'Setup Parameters'!$I$6 = "SW Agile"),"Story Point","Complexity Point")))</f>
        <v/>
      </c>
      <c r="AI298" s="81" t="str">
        <f t="shared" si="44"/>
        <v/>
      </c>
    </row>
    <row r="299" spans="1:35" x14ac:dyDescent="0.25">
      <c r="AF299" s="77" t="str">
        <f t="shared" si="43"/>
        <v/>
      </c>
      <c r="AG299" s="82" t="str">
        <f>IF(OR(AA299="",AA299="Grand Total"),"",VLOOKUP(AA299,'Team Details'!B:C,2,0))</f>
        <v/>
      </c>
      <c r="AH299" s="81" t="str">
        <f>IF(OR(AA299="",AA299="Grand Total"),"",(IF(OR('Setup Parameters'!$C$6 = "SW Agile",'Setup Parameters'!$I$6 = "SW Agile"),"Story Point","Complexity Point")))</f>
        <v/>
      </c>
      <c r="AI299" s="81" t="str">
        <f t="shared" si="44"/>
        <v/>
      </c>
    </row>
    <row r="300" spans="1:35" x14ac:dyDescent="0.25">
      <c r="AG300" s="82" t="str">
        <f>IF(OR(AA300="",AA300="Grand Total"),"",VLOOKUP(AA300,'Team Details'!B:C,2,0))</f>
        <v/>
      </c>
      <c r="AH300" s="81" t="str">
        <f>IF(OR(AA300="",AA300="Grand Total"),"",(IF(OR('Setup Parameters'!$C$6 = "SW Agile",'Setup Parameters'!$I$6 = "SW Agile"),"Story Point","Complexity Point")))</f>
        <v/>
      </c>
      <c r="AI300" s="81" t="str">
        <f t="shared" si="44"/>
        <v/>
      </c>
    </row>
    <row r="301" spans="1:35" x14ac:dyDescent="0.25">
      <c r="AG301" s="82" t="str">
        <f>IF(OR(AA301="",AA301="Grand Total"),"",VLOOKUP(AA301,'Team Details'!B:C,2,0))</f>
        <v/>
      </c>
      <c r="AH301" s="81" t="str">
        <f>IF(OR(AA301="",AA301="Grand Total"),"",(IF(OR('Setup Parameters'!$C$6 = "SW Agile",'Setup Parameters'!$I$6 = "SW Agile"),"Story Point","Complexity Point")))</f>
        <v/>
      </c>
      <c r="AI301" s="81" t="str">
        <f t="shared" si="44"/>
        <v/>
      </c>
    </row>
  </sheetData>
  <sheetProtection algorithmName="SHA-512" hashValue="+N7inqvq1KV1R92Po2gtd5+L9V+YrP09el/POcerq3+U/O0wJeCcrOsVU6AfbaW+D4FCN0l8XCHK6dBDFVMzVw==" saltValue="XgExUuUxFprZySkrHYcKJw==" spinCount="100000" sheet="1" objects="1" scenarios="1" pivotTables="0"/>
  <pageMargins left="0.7" right="0.7" top="0.75" bottom="0.75" header="0.3" footer="0.3"/>
  <pageSetup paperSize="9" orientation="portrait" r:id="rId2"/>
  <drawing r:id="rId3"/>
  <extLst>
    <ext xmlns:x15="http://schemas.microsoft.com/office/spreadsheetml/2010/11/main" uri="{7E03D99C-DC04-49d9-9315-930204A7B6E9}">
      <x15:timelineRefs>
        <x15:timelineRef r:id="rId4"/>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Q50"/>
  <sheetViews>
    <sheetView showGridLines="0" topLeftCell="A33" zoomScaleNormal="100" workbookViewId="0">
      <selection activeCell="C54" sqref="C54"/>
    </sheetView>
  </sheetViews>
  <sheetFormatPr defaultRowHeight="15" x14ac:dyDescent="0.25"/>
  <cols>
    <col min="1" max="2" width="1.7109375" style="1" customWidth="1" collapsed="1"/>
    <col min="3" max="3" width="16.5703125" style="1" bestFit="1" customWidth="1" collapsed="1"/>
    <col min="4" max="5" width="10.7109375" style="1" customWidth="1" collapsed="1"/>
    <col min="6" max="6" width="12.140625" style="1" bestFit="1" customWidth="1" collapsed="1"/>
    <col min="7" max="7" width="4.42578125" style="1" customWidth="1" collapsed="1"/>
    <col min="8" max="8" width="21.7109375" style="1" customWidth="1" collapsed="1"/>
    <col min="9" max="10" width="10.7109375" style="1" customWidth="1" collapsed="1"/>
    <col min="11" max="11" width="12.140625" style="1" bestFit="1" customWidth="1" collapsed="1"/>
    <col min="12" max="12" width="4.5703125" style="1" customWidth="1" collapsed="1"/>
    <col min="13" max="13" width="34.140625" style="1" bestFit="1" customWidth="1" collapsed="1"/>
    <col min="14" max="15" width="10.7109375" style="1" customWidth="1" collapsed="1"/>
    <col min="16" max="16" width="12.140625" style="1" bestFit="1" customWidth="1" collapsed="1"/>
    <col min="17" max="17" width="1.7109375" style="1" customWidth="1" collapsed="1"/>
    <col min="18" max="16384" width="9.140625" style="1" collapsed="1"/>
  </cols>
  <sheetData>
    <row r="1" spans="2:17" ht="15.75" thickBot="1" x14ac:dyDescent="0.3"/>
    <row r="2" spans="2:17" x14ac:dyDescent="0.25">
      <c r="B2" s="11"/>
      <c r="C2" s="12"/>
      <c r="D2" s="12"/>
      <c r="E2" s="12"/>
      <c r="F2" s="12"/>
      <c r="G2" s="12"/>
      <c r="H2" s="12"/>
      <c r="I2" s="12"/>
      <c r="J2" s="12"/>
      <c r="K2" s="12"/>
      <c r="L2" s="12"/>
      <c r="M2" s="12"/>
      <c r="N2" s="12"/>
      <c r="O2" s="12"/>
      <c r="P2" s="12"/>
      <c r="Q2" s="13"/>
    </row>
    <row r="3" spans="2:17" ht="21" x14ac:dyDescent="0.25">
      <c r="B3" s="5"/>
      <c r="C3" s="188" t="s">
        <v>64</v>
      </c>
      <c r="D3" s="188"/>
      <c r="E3" s="188"/>
      <c r="F3" s="188"/>
      <c r="G3" s="188"/>
      <c r="H3" s="188"/>
      <c r="I3" s="188"/>
      <c r="J3" s="188"/>
      <c r="K3" s="188"/>
      <c r="L3" s="188"/>
      <c r="M3" s="188"/>
      <c r="N3" s="188"/>
      <c r="O3" s="188"/>
      <c r="P3" s="188"/>
      <c r="Q3" s="7"/>
    </row>
    <row r="4" spans="2:17" ht="15.75" x14ac:dyDescent="0.25">
      <c r="B4" s="5"/>
      <c r="C4" s="186" t="s">
        <v>60</v>
      </c>
      <c r="D4" s="186"/>
      <c r="E4" s="186"/>
      <c r="F4" s="186"/>
      <c r="G4" s="186"/>
      <c r="H4" s="186"/>
      <c r="I4" s="186"/>
      <c r="J4" s="186"/>
      <c r="K4" s="186"/>
      <c r="L4" s="186"/>
      <c r="M4" s="186"/>
      <c r="N4" s="186"/>
      <c r="O4" s="186"/>
      <c r="P4" s="186"/>
      <c r="Q4" s="7"/>
    </row>
    <row r="5" spans="2:17" x14ac:dyDescent="0.25">
      <c r="B5" s="5"/>
      <c r="C5" s="174" t="s">
        <v>67</v>
      </c>
      <c r="D5" s="174"/>
      <c r="E5" s="174"/>
      <c r="F5" s="174"/>
      <c r="G5" s="174"/>
      <c r="H5" s="174"/>
      <c r="I5" s="174"/>
      <c r="J5" s="174"/>
      <c r="K5" s="174"/>
      <c r="L5" s="174"/>
      <c r="M5" s="174"/>
      <c r="N5" s="174"/>
      <c r="O5" s="174"/>
      <c r="P5" s="174"/>
      <c r="Q5" s="7"/>
    </row>
    <row r="6" spans="2:17" x14ac:dyDescent="0.25">
      <c r="B6" s="5"/>
      <c r="C6" s="174" t="s">
        <v>69</v>
      </c>
      <c r="D6" s="174"/>
      <c r="E6" s="174"/>
      <c r="F6" s="174"/>
      <c r="G6" s="174"/>
      <c r="H6" s="174"/>
      <c r="I6" s="174"/>
      <c r="J6" s="174"/>
      <c r="K6" s="174"/>
      <c r="L6" s="174"/>
      <c r="M6" s="174"/>
      <c r="N6" s="174"/>
      <c r="O6" s="174"/>
      <c r="P6" s="174"/>
      <c r="Q6" s="7"/>
    </row>
    <row r="7" spans="2:17" x14ac:dyDescent="0.25">
      <c r="B7" s="5"/>
      <c r="C7" s="174" t="s">
        <v>68</v>
      </c>
      <c r="D7" s="174"/>
      <c r="E7" s="174"/>
      <c r="F7" s="174"/>
      <c r="G7" s="174"/>
      <c r="H7" s="174"/>
      <c r="I7" s="174"/>
      <c r="J7" s="174"/>
      <c r="K7" s="174"/>
      <c r="L7" s="174"/>
      <c r="M7" s="174"/>
      <c r="N7" s="174"/>
      <c r="O7" s="174"/>
      <c r="P7" s="174"/>
      <c r="Q7" s="7"/>
    </row>
    <row r="8" spans="2:17" x14ac:dyDescent="0.25">
      <c r="B8" s="5"/>
      <c r="C8" s="174" t="s">
        <v>70</v>
      </c>
      <c r="D8" s="174"/>
      <c r="E8" s="174"/>
      <c r="F8" s="174"/>
      <c r="G8" s="174"/>
      <c r="H8" s="174"/>
      <c r="I8" s="174"/>
      <c r="J8" s="174"/>
      <c r="K8" s="174"/>
      <c r="L8" s="174"/>
      <c r="M8" s="174"/>
      <c r="N8" s="174"/>
      <c r="O8" s="174"/>
      <c r="P8" s="174"/>
      <c r="Q8" s="7"/>
    </row>
    <row r="9" spans="2:17" x14ac:dyDescent="0.25">
      <c r="B9" s="5"/>
      <c r="C9" s="174" t="s">
        <v>71</v>
      </c>
      <c r="D9" s="174"/>
      <c r="E9" s="174"/>
      <c r="F9" s="174"/>
      <c r="G9" s="174"/>
      <c r="H9" s="174"/>
      <c r="I9" s="174"/>
      <c r="J9" s="174"/>
      <c r="K9" s="174"/>
      <c r="L9" s="174"/>
      <c r="M9" s="174"/>
      <c r="N9" s="174"/>
      <c r="O9" s="174"/>
      <c r="P9" s="174"/>
      <c r="Q9" s="7"/>
    </row>
    <row r="10" spans="2:17" x14ac:dyDescent="0.25">
      <c r="B10" s="5"/>
      <c r="C10" s="174"/>
      <c r="D10" s="174"/>
      <c r="E10" s="174"/>
      <c r="F10" s="174"/>
      <c r="G10" s="174"/>
      <c r="H10" s="174"/>
      <c r="I10" s="174"/>
      <c r="J10" s="174"/>
      <c r="K10" s="174"/>
      <c r="L10" s="174"/>
      <c r="M10" s="174"/>
      <c r="N10" s="174"/>
      <c r="O10" s="174"/>
      <c r="P10" s="174"/>
      <c r="Q10" s="7"/>
    </row>
    <row r="11" spans="2:17" ht="15.75" x14ac:dyDescent="0.25">
      <c r="B11" s="5"/>
      <c r="C11" s="186" t="s">
        <v>61</v>
      </c>
      <c r="D11" s="186"/>
      <c r="E11" s="186"/>
      <c r="F11" s="186"/>
      <c r="G11" s="186"/>
      <c r="H11" s="186"/>
      <c r="I11" s="186"/>
      <c r="J11" s="186"/>
      <c r="K11" s="186"/>
      <c r="L11" s="186"/>
      <c r="M11" s="186"/>
      <c r="N11" s="186"/>
      <c r="O11" s="186"/>
      <c r="P11" s="186"/>
      <c r="Q11" s="7"/>
    </row>
    <row r="12" spans="2:17" x14ac:dyDescent="0.25">
      <c r="B12" s="5"/>
      <c r="C12" s="174" t="s">
        <v>54</v>
      </c>
      <c r="D12" s="174"/>
      <c r="E12" s="174"/>
      <c r="F12" s="174"/>
      <c r="G12" s="174"/>
      <c r="H12" s="174"/>
      <c r="I12" s="174"/>
      <c r="J12" s="174"/>
      <c r="K12" s="174"/>
      <c r="L12" s="174"/>
      <c r="M12" s="174"/>
      <c r="N12" s="174"/>
      <c r="O12" s="174"/>
      <c r="P12" s="174"/>
      <c r="Q12" s="7"/>
    </row>
    <row r="13" spans="2:17" x14ac:dyDescent="0.25">
      <c r="B13" s="5"/>
      <c r="C13" s="174" t="s">
        <v>55</v>
      </c>
      <c r="D13" s="174"/>
      <c r="E13" s="174"/>
      <c r="F13" s="174"/>
      <c r="G13" s="174"/>
      <c r="H13" s="174"/>
      <c r="I13" s="174"/>
      <c r="J13" s="174"/>
      <c r="K13" s="174"/>
      <c r="L13" s="174"/>
      <c r="M13" s="174"/>
      <c r="N13" s="174"/>
      <c r="O13" s="174"/>
      <c r="P13" s="174"/>
      <c r="Q13" s="7"/>
    </row>
    <row r="14" spans="2:17" x14ac:dyDescent="0.25">
      <c r="B14" s="5"/>
      <c r="C14" s="174" t="s">
        <v>56</v>
      </c>
      <c r="D14" s="174"/>
      <c r="E14" s="174"/>
      <c r="F14" s="174"/>
      <c r="G14" s="174"/>
      <c r="H14" s="174"/>
      <c r="I14" s="174"/>
      <c r="J14" s="174"/>
      <c r="K14" s="174"/>
      <c r="L14" s="174"/>
      <c r="M14" s="174"/>
      <c r="N14" s="174"/>
      <c r="O14" s="174"/>
      <c r="P14" s="174"/>
      <c r="Q14" s="7"/>
    </row>
    <row r="15" spans="2:17" x14ac:dyDescent="0.25">
      <c r="B15" s="5"/>
      <c r="C15" s="174" t="s">
        <v>57</v>
      </c>
      <c r="D15" s="174"/>
      <c r="E15" s="174"/>
      <c r="F15" s="174"/>
      <c r="G15" s="174"/>
      <c r="H15" s="174"/>
      <c r="I15" s="174"/>
      <c r="J15" s="174"/>
      <c r="K15" s="174"/>
      <c r="L15" s="174"/>
      <c r="M15" s="174"/>
      <c r="N15" s="174"/>
      <c r="O15" s="174"/>
      <c r="P15" s="174"/>
      <c r="Q15" s="7"/>
    </row>
    <row r="16" spans="2:17" x14ac:dyDescent="0.25">
      <c r="B16" s="5"/>
      <c r="C16" s="174" t="s">
        <v>58</v>
      </c>
      <c r="D16" s="174"/>
      <c r="E16" s="174"/>
      <c r="F16" s="174"/>
      <c r="G16" s="174"/>
      <c r="H16" s="174"/>
      <c r="I16" s="174"/>
      <c r="J16" s="174"/>
      <c r="K16" s="174"/>
      <c r="L16" s="174"/>
      <c r="M16" s="174"/>
      <c r="N16" s="174"/>
      <c r="O16" s="174"/>
      <c r="P16" s="174"/>
      <c r="Q16" s="7"/>
    </row>
    <row r="17" spans="2:17" x14ac:dyDescent="0.25">
      <c r="B17" s="5"/>
      <c r="C17" s="174" t="s">
        <v>59</v>
      </c>
      <c r="D17" s="174"/>
      <c r="E17" s="174"/>
      <c r="F17" s="174"/>
      <c r="G17" s="174"/>
      <c r="H17" s="174"/>
      <c r="I17" s="174"/>
      <c r="J17" s="174"/>
      <c r="K17" s="174"/>
      <c r="L17" s="174"/>
      <c r="M17" s="174"/>
      <c r="N17" s="174"/>
      <c r="O17" s="174"/>
      <c r="P17" s="174"/>
      <c r="Q17" s="7"/>
    </row>
    <row r="18" spans="2:17" x14ac:dyDescent="0.25">
      <c r="B18" s="5"/>
      <c r="C18" s="186" t="s">
        <v>63</v>
      </c>
      <c r="D18" s="187"/>
      <c r="E18" s="187"/>
      <c r="F18" s="187"/>
      <c r="G18" s="187"/>
      <c r="H18" s="187"/>
      <c r="I18" s="187"/>
      <c r="J18" s="187"/>
      <c r="K18" s="187"/>
      <c r="L18" s="187"/>
      <c r="M18" s="187"/>
      <c r="N18" s="187"/>
      <c r="O18" s="187"/>
      <c r="P18" s="187"/>
      <c r="Q18" s="7"/>
    </row>
    <row r="19" spans="2:17" x14ac:dyDescent="0.25">
      <c r="B19" s="5"/>
      <c r="C19" s="174" t="s">
        <v>62</v>
      </c>
      <c r="D19" s="174"/>
      <c r="E19" s="174"/>
      <c r="F19" s="174"/>
      <c r="G19" s="174"/>
      <c r="H19" s="174"/>
      <c r="I19" s="174"/>
      <c r="J19" s="174"/>
      <c r="K19" s="174"/>
      <c r="L19" s="174"/>
      <c r="M19" s="174"/>
      <c r="N19" s="174"/>
      <c r="O19" s="174"/>
      <c r="P19" s="174"/>
      <c r="Q19" s="7"/>
    </row>
    <row r="20" spans="2:17" x14ac:dyDescent="0.25">
      <c r="B20" s="5"/>
      <c r="C20" s="174" t="s">
        <v>65</v>
      </c>
      <c r="D20" s="174"/>
      <c r="E20" s="174"/>
      <c r="F20" s="174"/>
      <c r="G20" s="174"/>
      <c r="H20" s="174"/>
      <c r="I20" s="174"/>
      <c r="J20" s="174"/>
      <c r="K20" s="174"/>
      <c r="L20" s="174"/>
      <c r="M20" s="174"/>
      <c r="N20" s="174"/>
      <c r="O20" s="174"/>
      <c r="P20" s="174"/>
      <c r="Q20" s="7"/>
    </row>
    <row r="21" spans="2:17" ht="15.75" thickBot="1" x14ac:dyDescent="0.3">
      <c r="B21" s="8"/>
      <c r="C21" s="14"/>
      <c r="D21" s="14"/>
      <c r="E21" s="14"/>
      <c r="F21" s="14"/>
      <c r="G21" s="14"/>
      <c r="H21" s="14"/>
      <c r="I21" s="14"/>
      <c r="J21" s="14"/>
      <c r="K21" s="14"/>
      <c r="L21" s="14"/>
      <c r="M21" s="14"/>
      <c r="N21" s="14"/>
      <c r="O21" s="14"/>
      <c r="P21" s="14"/>
      <c r="Q21" s="10"/>
    </row>
    <row r="22" spans="2:17" ht="15.75" thickBot="1" x14ac:dyDescent="0.3">
      <c r="C22" s="189"/>
      <c r="D22" s="189"/>
      <c r="E22" s="189"/>
      <c r="F22" s="189"/>
      <c r="G22" s="189"/>
      <c r="H22" s="189"/>
      <c r="I22" s="189"/>
      <c r="J22" s="189"/>
      <c r="K22" s="189"/>
      <c r="L22" s="189"/>
      <c r="M22" s="189"/>
      <c r="N22" s="189"/>
      <c r="O22" s="189"/>
      <c r="P22" s="189"/>
    </row>
    <row r="23" spans="2:17" ht="15.75" thickBot="1" x14ac:dyDescent="0.3">
      <c r="B23" s="11"/>
      <c r="C23" s="17"/>
      <c r="D23" s="17"/>
      <c r="E23" s="17"/>
      <c r="F23" s="17"/>
      <c r="G23" s="17"/>
      <c r="H23" s="17"/>
      <c r="I23" s="17"/>
      <c r="J23" s="17"/>
      <c r="K23" s="17"/>
      <c r="L23" s="17"/>
      <c r="M23" s="17"/>
      <c r="N23" s="17"/>
      <c r="O23" s="17"/>
      <c r="P23" s="17"/>
      <c r="Q23" s="13"/>
    </row>
    <row r="24" spans="2:17" ht="19.5" thickBot="1" x14ac:dyDescent="0.3">
      <c r="B24" s="5"/>
      <c r="C24" s="191" t="s">
        <v>72</v>
      </c>
      <c r="D24" s="192"/>
      <c r="E24" s="192"/>
      <c r="F24" s="192"/>
      <c r="G24" s="192"/>
      <c r="H24" s="192"/>
      <c r="I24" s="192"/>
      <c r="J24" s="192"/>
      <c r="K24" s="192"/>
      <c r="L24" s="192"/>
      <c r="M24" s="192"/>
      <c r="N24" s="192"/>
      <c r="O24" s="192"/>
      <c r="P24" s="193"/>
      <c r="Q24" s="7"/>
    </row>
    <row r="25" spans="2:17" x14ac:dyDescent="0.25">
      <c r="B25" s="5"/>
      <c r="C25" s="6"/>
      <c r="D25" s="6"/>
      <c r="E25" s="6"/>
      <c r="F25" s="6"/>
      <c r="G25" s="6"/>
      <c r="H25" s="6"/>
      <c r="I25" s="6"/>
      <c r="J25" s="6"/>
      <c r="K25" s="6"/>
      <c r="L25" s="6"/>
      <c r="M25" s="6"/>
      <c r="N25" s="6"/>
      <c r="O25" s="6"/>
      <c r="P25" s="6"/>
      <c r="Q25" s="7"/>
    </row>
    <row r="26" spans="2:17" x14ac:dyDescent="0.25">
      <c r="B26" s="5"/>
      <c r="C26" s="175" t="s">
        <v>73</v>
      </c>
      <c r="D26" s="176"/>
      <c r="E26" s="176"/>
      <c r="F26" s="177"/>
      <c r="G26" s="18"/>
      <c r="H26" s="172" t="s">
        <v>94</v>
      </c>
      <c r="I26" s="190"/>
      <c r="J26" s="190"/>
      <c r="K26" s="173"/>
      <c r="L26" s="18"/>
      <c r="M26" s="172" t="s">
        <v>112</v>
      </c>
      <c r="N26" s="190"/>
      <c r="O26" s="190"/>
      <c r="P26" s="173"/>
      <c r="Q26" s="7"/>
    </row>
    <row r="27" spans="2:17" x14ac:dyDescent="0.25">
      <c r="B27" s="5"/>
      <c r="C27" s="178" t="s">
        <v>3</v>
      </c>
      <c r="D27" s="180" t="s">
        <v>46</v>
      </c>
      <c r="E27" s="181"/>
      <c r="F27" s="170" t="s">
        <v>99</v>
      </c>
      <c r="G27" s="18"/>
      <c r="H27" s="170" t="s">
        <v>3</v>
      </c>
      <c r="I27" s="172" t="s">
        <v>46</v>
      </c>
      <c r="J27" s="173"/>
      <c r="K27" s="170" t="s">
        <v>99</v>
      </c>
      <c r="L27" s="18"/>
      <c r="M27" s="170" t="s">
        <v>3</v>
      </c>
      <c r="N27" s="172" t="s">
        <v>46</v>
      </c>
      <c r="O27" s="173"/>
      <c r="P27" s="170" t="s">
        <v>99</v>
      </c>
      <c r="Q27" s="7"/>
    </row>
    <row r="28" spans="2:17" x14ac:dyDescent="0.25">
      <c r="B28" s="5"/>
      <c r="C28" s="179"/>
      <c r="D28" s="20" t="s">
        <v>74</v>
      </c>
      <c r="E28" s="20" t="s">
        <v>75</v>
      </c>
      <c r="F28" s="171"/>
      <c r="G28" s="18"/>
      <c r="H28" s="171"/>
      <c r="I28" s="21" t="s">
        <v>74</v>
      </c>
      <c r="J28" s="21" t="s">
        <v>75</v>
      </c>
      <c r="K28" s="171"/>
      <c r="L28" s="18"/>
      <c r="M28" s="171"/>
      <c r="N28" s="21" t="s">
        <v>74</v>
      </c>
      <c r="O28" s="21" t="s">
        <v>75</v>
      </c>
      <c r="P28" s="171"/>
      <c r="Q28" s="7"/>
    </row>
    <row r="29" spans="2:17" x14ac:dyDescent="0.25">
      <c r="B29" s="5"/>
      <c r="C29" s="2" t="s">
        <v>77</v>
      </c>
      <c r="D29" s="3">
        <v>21.26</v>
      </c>
      <c r="E29" s="3">
        <v>26.46</v>
      </c>
      <c r="F29" s="162" t="s">
        <v>80</v>
      </c>
      <c r="G29" s="6"/>
      <c r="H29" s="15" t="s">
        <v>95</v>
      </c>
      <c r="I29" s="16" t="s">
        <v>87</v>
      </c>
      <c r="J29" s="16">
        <v>23.1</v>
      </c>
      <c r="K29" s="165" t="s">
        <v>80</v>
      </c>
      <c r="L29" s="6"/>
      <c r="M29" s="2" t="s">
        <v>104</v>
      </c>
      <c r="N29" s="3" t="s">
        <v>87</v>
      </c>
      <c r="O29" s="16" t="s">
        <v>87</v>
      </c>
      <c r="P29" s="162" t="s">
        <v>80</v>
      </c>
      <c r="Q29" s="7"/>
    </row>
    <row r="30" spans="2:17" x14ac:dyDescent="0.25">
      <c r="B30" s="5"/>
      <c r="C30" s="2" t="s">
        <v>78</v>
      </c>
      <c r="D30" s="3">
        <v>9.65</v>
      </c>
      <c r="E30" s="3">
        <v>16.850000000000001</v>
      </c>
      <c r="F30" s="163"/>
      <c r="G30" s="6"/>
      <c r="H30" s="15" t="s">
        <v>96</v>
      </c>
      <c r="I30" s="16" t="s">
        <v>87</v>
      </c>
      <c r="J30" s="16">
        <v>29.19</v>
      </c>
      <c r="K30" s="166"/>
      <c r="L30" s="6"/>
      <c r="M30" s="2" t="s">
        <v>105</v>
      </c>
      <c r="N30" s="4">
        <v>15.48053846348594</v>
      </c>
      <c r="O30" s="16" t="s">
        <v>87</v>
      </c>
      <c r="P30" s="163"/>
      <c r="Q30" s="7"/>
    </row>
    <row r="31" spans="2:17" x14ac:dyDescent="0.25">
      <c r="B31" s="5"/>
      <c r="C31" s="2" t="s">
        <v>79</v>
      </c>
      <c r="D31" s="3">
        <v>44.56</v>
      </c>
      <c r="E31" s="3">
        <v>44.47</v>
      </c>
      <c r="F31" s="163"/>
      <c r="G31" s="6"/>
      <c r="H31" s="15" t="s">
        <v>97</v>
      </c>
      <c r="I31" s="16" t="s">
        <v>87</v>
      </c>
      <c r="J31" s="16">
        <v>37</v>
      </c>
      <c r="K31" s="166"/>
      <c r="L31" s="6"/>
      <c r="M31" s="2" t="s">
        <v>106</v>
      </c>
      <c r="N31" s="4">
        <v>13.798485157423071</v>
      </c>
      <c r="O31" s="16" t="s">
        <v>87</v>
      </c>
      <c r="P31" s="163"/>
      <c r="Q31" s="7"/>
    </row>
    <row r="32" spans="2:17" x14ac:dyDescent="0.25">
      <c r="B32" s="5"/>
      <c r="C32" s="2" t="s">
        <v>48</v>
      </c>
      <c r="D32" s="3">
        <v>24.12</v>
      </c>
      <c r="E32" s="3">
        <v>12.22</v>
      </c>
      <c r="F32" s="164"/>
      <c r="G32" s="6"/>
      <c r="H32" s="15" t="s">
        <v>98</v>
      </c>
      <c r="I32" s="16" t="s">
        <v>87</v>
      </c>
      <c r="J32" s="16">
        <v>10.71</v>
      </c>
      <c r="K32" s="167"/>
      <c r="L32" s="6"/>
      <c r="M32" s="2" t="s">
        <v>107</v>
      </c>
      <c r="N32" s="4">
        <v>2.3461411374835088</v>
      </c>
      <c r="O32" s="16" t="s">
        <v>87</v>
      </c>
      <c r="P32" s="163"/>
      <c r="Q32" s="7"/>
    </row>
    <row r="33" spans="2:17" x14ac:dyDescent="0.25">
      <c r="B33" s="5"/>
      <c r="C33" s="6"/>
      <c r="D33" s="6"/>
      <c r="E33" s="6"/>
      <c r="F33" s="6"/>
      <c r="G33" s="6"/>
      <c r="H33" s="6"/>
      <c r="I33" s="6"/>
      <c r="J33" s="6"/>
      <c r="K33" s="6"/>
      <c r="L33" s="6"/>
      <c r="M33" s="2" t="s">
        <v>108</v>
      </c>
      <c r="N33" s="4">
        <v>66.959751617591351</v>
      </c>
      <c r="O33" s="16" t="s">
        <v>87</v>
      </c>
      <c r="P33" s="163"/>
      <c r="Q33" s="7"/>
    </row>
    <row r="34" spans="2:17" x14ac:dyDescent="0.25">
      <c r="B34" s="5"/>
      <c r="C34" s="175" t="s">
        <v>81</v>
      </c>
      <c r="D34" s="176"/>
      <c r="E34" s="176"/>
      <c r="F34" s="177"/>
      <c r="G34" s="6"/>
      <c r="H34" s="184" t="s">
        <v>100</v>
      </c>
      <c r="I34" s="194"/>
      <c r="J34" s="194"/>
      <c r="K34" s="185"/>
      <c r="L34" s="6"/>
      <c r="M34" s="2" t="s">
        <v>109</v>
      </c>
      <c r="N34" s="4">
        <v>12.162106614046582</v>
      </c>
      <c r="O34" s="16" t="s">
        <v>87</v>
      </c>
      <c r="P34" s="163"/>
      <c r="Q34" s="7"/>
    </row>
    <row r="35" spans="2:17" x14ac:dyDescent="0.25">
      <c r="B35" s="5"/>
      <c r="C35" s="178" t="s">
        <v>3</v>
      </c>
      <c r="D35" s="180" t="s">
        <v>46</v>
      </c>
      <c r="E35" s="181"/>
      <c r="F35" s="168" t="s">
        <v>76</v>
      </c>
      <c r="G35" s="6"/>
      <c r="H35" s="182" t="s">
        <v>3</v>
      </c>
      <c r="I35" s="184" t="s">
        <v>46</v>
      </c>
      <c r="J35" s="185"/>
      <c r="K35" s="182" t="s">
        <v>99</v>
      </c>
      <c r="L35" s="6"/>
      <c r="M35" s="2" t="s">
        <v>110</v>
      </c>
      <c r="N35" s="4">
        <v>1.691708941336086</v>
      </c>
      <c r="O35" s="16" t="s">
        <v>87</v>
      </c>
      <c r="P35" s="163"/>
      <c r="Q35" s="7"/>
    </row>
    <row r="36" spans="2:17" x14ac:dyDescent="0.25">
      <c r="B36" s="5"/>
      <c r="C36" s="179"/>
      <c r="D36" s="20" t="s">
        <v>74</v>
      </c>
      <c r="E36" s="20" t="s">
        <v>75</v>
      </c>
      <c r="F36" s="169"/>
      <c r="G36" s="6"/>
      <c r="H36" s="183"/>
      <c r="I36" s="22" t="s">
        <v>74</v>
      </c>
      <c r="J36" s="22" t="s">
        <v>75</v>
      </c>
      <c r="K36" s="183"/>
      <c r="L36" s="6"/>
      <c r="M36" s="2" t="s">
        <v>111</v>
      </c>
      <c r="N36" s="4">
        <v>7.2510715467101559</v>
      </c>
      <c r="O36" s="16" t="s">
        <v>87</v>
      </c>
      <c r="P36" s="164"/>
      <c r="Q36" s="7"/>
    </row>
    <row r="37" spans="2:17" x14ac:dyDescent="0.25">
      <c r="B37" s="5"/>
      <c r="C37" s="2" t="s">
        <v>47</v>
      </c>
      <c r="D37" s="3">
        <v>41.65</v>
      </c>
      <c r="E37" s="3" t="s">
        <v>87</v>
      </c>
      <c r="F37" s="162" t="s">
        <v>80</v>
      </c>
      <c r="G37" s="6"/>
      <c r="H37" s="15" t="s">
        <v>101</v>
      </c>
      <c r="I37" s="16" t="s">
        <v>87</v>
      </c>
      <c r="J37" s="16">
        <v>13.41</v>
      </c>
      <c r="K37" s="165" t="s">
        <v>80</v>
      </c>
      <c r="L37" s="6"/>
      <c r="M37" s="6"/>
      <c r="N37" s="6"/>
      <c r="O37" s="6"/>
      <c r="P37" s="6"/>
      <c r="Q37" s="7"/>
    </row>
    <row r="38" spans="2:17" x14ac:dyDescent="0.25">
      <c r="B38" s="5"/>
      <c r="C38" s="2" t="s">
        <v>50</v>
      </c>
      <c r="D38" s="3">
        <v>37.22</v>
      </c>
      <c r="E38" s="3" t="s">
        <v>87</v>
      </c>
      <c r="F38" s="163"/>
      <c r="G38" s="6"/>
      <c r="H38" s="15" t="s">
        <v>102</v>
      </c>
      <c r="I38" s="16" t="s">
        <v>87</v>
      </c>
      <c r="J38" s="16">
        <v>27.3</v>
      </c>
      <c r="K38" s="166"/>
      <c r="L38" s="6"/>
      <c r="M38" s="172" t="s">
        <v>119</v>
      </c>
      <c r="N38" s="190"/>
      <c r="O38" s="190"/>
      <c r="P38" s="173"/>
      <c r="Q38" s="7"/>
    </row>
    <row r="39" spans="2:17" x14ac:dyDescent="0.25">
      <c r="B39" s="5"/>
      <c r="C39" s="2" t="s">
        <v>48</v>
      </c>
      <c r="D39" s="3">
        <v>20.34</v>
      </c>
      <c r="E39" s="3" t="s">
        <v>87</v>
      </c>
      <c r="F39" s="164"/>
      <c r="G39" s="6"/>
      <c r="H39" s="15" t="s">
        <v>103</v>
      </c>
      <c r="I39" s="16" t="s">
        <v>87</v>
      </c>
      <c r="J39" s="16">
        <v>37.82</v>
      </c>
      <c r="K39" s="166"/>
      <c r="L39" s="6"/>
      <c r="M39" s="170" t="s">
        <v>3</v>
      </c>
      <c r="N39" s="172" t="s">
        <v>46</v>
      </c>
      <c r="O39" s="173"/>
      <c r="P39" s="170" t="s">
        <v>146</v>
      </c>
      <c r="Q39" s="7"/>
    </row>
    <row r="40" spans="2:17" x14ac:dyDescent="0.25">
      <c r="B40" s="5"/>
      <c r="C40" s="6"/>
      <c r="D40" s="6"/>
      <c r="E40" s="6"/>
      <c r="F40" s="6"/>
      <c r="G40" s="6"/>
      <c r="H40" s="15" t="s">
        <v>48</v>
      </c>
      <c r="I40" s="16" t="s">
        <v>87</v>
      </c>
      <c r="J40" s="16">
        <v>21.48</v>
      </c>
      <c r="K40" s="167"/>
      <c r="L40" s="6"/>
      <c r="M40" s="171"/>
      <c r="N40" s="21" t="s">
        <v>74</v>
      </c>
      <c r="O40" s="21" t="s">
        <v>75</v>
      </c>
      <c r="P40" s="171"/>
      <c r="Q40" s="7"/>
    </row>
    <row r="41" spans="2:17" x14ac:dyDescent="0.25">
      <c r="B41" s="5"/>
      <c r="C41" s="6"/>
      <c r="D41" s="6"/>
      <c r="E41" s="6"/>
      <c r="F41" s="6"/>
      <c r="G41" s="6"/>
      <c r="H41" s="6"/>
      <c r="I41" s="6"/>
      <c r="J41" s="6"/>
      <c r="K41" s="6"/>
      <c r="L41" s="6"/>
      <c r="M41" s="2" t="s">
        <v>138</v>
      </c>
      <c r="N41" s="53">
        <v>0.46961015948532103</v>
      </c>
      <c r="O41" s="54">
        <v>0.33799065101561632</v>
      </c>
      <c r="P41" s="195" t="s">
        <v>80</v>
      </c>
      <c r="Q41" s="7"/>
    </row>
    <row r="42" spans="2:17" x14ac:dyDescent="0.25">
      <c r="B42" s="5"/>
      <c r="C42" s="175" t="s">
        <v>82</v>
      </c>
      <c r="D42" s="176"/>
      <c r="E42" s="176"/>
      <c r="F42" s="177"/>
      <c r="G42" s="6"/>
      <c r="H42" s="172" t="s">
        <v>88</v>
      </c>
      <c r="I42" s="190"/>
      <c r="J42" s="190"/>
      <c r="K42" s="173"/>
      <c r="L42" s="6"/>
      <c r="M42" s="2" t="s">
        <v>51</v>
      </c>
      <c r="N42" s="53">
        <v>2.8681203890085005E-2</v>
      </c>
      <c r="O42" s="54">
        <v>3.1452997841808661E-2</v>
      </c>
      <c r="P42" s="195"/>
      <c r="Q42" s="7"/>
    </row>
    <row r="43" spans="2:17" x14ac:dyDescent="0.25">
      <c r="B43" s="5"/>
      <c r="C43" s="23" t="s">
        <v>3</v>
      </c>
      <c r="D43" s="180" t="s">
        <v>46</v>
      </c>
      <c r="E43" s="181"/>
      <c r="F43" s="168" t="s">
        <v>76</v>
      </c>
      <c r="G43" s="6"/>
      <c r="H43" s="170" t="s">
        <v>3</v>
      </c>
      <c r="I43" s="172" t="s">
        <v>46</v>
      </c>
      <c r="J43" s="173"/>
      <c r="K43" s="170" t="s">
        <v>99</v>
      </c>
      <c r="L43" s="6"/>
      <c r="M43" s="2" t="s">
        <v>139</v>
      </c>
      <c r="N43" s="53">
        <v>7.7863971566947037E-3</v>
      </c>
      <c r="O43" s="54">
        <v>9.618519943724561E-3</v>
      </c>
      <c r="P43" s="195"/>
      <c r="Q43" s="7"/>
    </row>
    <row r="44" spans="2:17" x14ac:dyDescent="0.25">
      <c r="B44" s="5"/>
      <c r="C44" s="24"/>
      <c r="D44" s="20" t="s">
        <v>74</v>
      </c>
      <c r="E44" s="20" t="s">
        <v>75</v>
      </c>
      <c r="F44" s="169"/>
      <c r="G44" s="6"/>
      <c r="H44" s="171"/>
      <c r="I44" s="21" t="s">
        <v>74</v>
      </c>
      <c r="J44" s="21" t="s">
        <v>75</v>
      </c>
      <c r="K44" s="171"/>
      <c r="L44" s="6"/>
      <c r="M44" s="2" t="s">
        <v>140</v>
      </c>
      <c r="N44" s="53">
        <v>0.15690000000000001</v>
      </c>
      <c r="O44" s="54">
        <v>7.6799999999999993E-2</v>
      </c>
      <c r="P44" s="195"/>
      <c r="Q44" s="7"/>
    </row>
    <row r="45" spans="2:17" x14ac:dyDescent="0.25">
      <c r="B45" s="5"/>
      <c r="C45" s="2" t="s">
        <v>83</v>
      </c>
      <c r="D45" s="3">
        <v>3.43</v>
      </c>
      <c r="E45" s="3" t="s">
        <v>87</v>
      </c>
      <c r="F45" s="162" t="s">
        <v>80</v>
      </c>
      <c r="G45" s="6"/>
      <c r="H45" s="15" t="s">
        <v>89</v>
      </c>
      <c r="I45" s="16" t="s">
        <v>87</v>
      </c>
      <c r="J45" s="16">
        <v>6.83</v>
      </c>
      <c r="K45" s="165" t="s">
        <v>80</v>
      </c>
      <c r="L45" s="6"/>
      <c r="M45" s="2" t="s">
        <v>141</v>
      </c>
      <c r="N45" s="53">
        <v>1.5238293913037158E-2</v>
      </c>
      <c r="O45" s="54">
        <v>1.7796402353378187E-2</v>
      </c>
      <c r="P45" s="195"/>
      <c r="Q45" s="7"/>
    </row>
    <row r="46" spans="2:17" x14ac:dyDescent="0.25">
      <c r="B46" s="5"/>
      <c r="C46" s="2" t="s">
        <v>84</v>
      </c>
      <c r="D46" s="3">
        <v>5.5149999999999997</v>
      </c>
      <c r="E46" s="3" t="s">
        <v>87</v>
      </c>
      <c r="F46" s="163"/>
      <c r="G46" s="6"/>
      <c r="H46" s="15" t="s">
        <v>90</v>
      </c>
      <c r="I46" s="16" t="s">
        <v>87</v>
      </c>
      <c r="J46" s="16">
        <v>2.87</v>
      </c>
      <c r="K46" s="166"/>
      <c r="L46" s="6"/>
      <c r="M46" s="2" t="s">
        <v>143</v>
      </c>
      <c r="N46" s="53">
        <v>3.6586954276815416E-2</v>
      </c>
      <c r="O46" s="54">
        <v>2.1100429693265296E-2</v>
      </c>
      <c r="P46" s="195"/>
      <c r="Q46" s="7"/>
    </row>
    <row r="47" spans="2:17" x14ac:dyDescent="0.25">
      <c r="B47" s="5"/>
      <c r="C47" s="2" t="s">
        <v>85</v>
      </c>
      <c r="D47" s="3">
        <v>18.16</v>
      </c>
      <c r="E47" s="3" t="s">
        <v>87</v>
      </c>
      <c r="F47" s="163"/>
      <c r="G47" s="6"/>
      <c r="H47" s="15" t="s">
        <v>91</v>
      </c>
      <c r="I47" s="16" t="s">
        <v>87</v>
      </c>
      <c r="J47" s="16">
        <v>34.6</v>
      </c>
      <c r="K47" s="166"/>
      <c r="L47" s="6"/>
      <c r="M47" s="2" t="s">
        <v>142</v>
      </c>
      <c r="N47" s="53">
        <v>1.4149411908580957E-3</v>
      </c>
      <c r="O47" s="54">
        <v>1.5941402759540725E-3</v>
      </c>
      <c r="P47" s="195"/>
      <c r="Q47" s="7"/>
    </row>
    <row r="48" spans="2:17" x14ac:dyDescent="0.25">
      <c r="B48" s="5"/>
      <c r="C48" s="2" t="s">
        <v>52</v>
      </c>
      <c r="D48" s="3">
        <v>68.14</v>
      </c>
      <c r="E48" s="3" t="s">
        <v>87</v>
      </c>
      <c r="F48" s="163"/>
      <c r="G48" s="6"/>
      <c r="H48" s="15" t="s">
        <v>92</v>
      </c>
      <c r="I48" s="16" t="s">
        <v>87</v>
      </c>
      <c r="J48" s="16">
        <v>31.13</v>
      </c>
      <c r="K48" s="166"/>
      <c r="L48" s="6"/>
      <c r="M48" s="2" t="s">
        <v>144</v>
      </c>
      <c r="N48" s="53">
        <v>4.8519682644950594E-3</v>
      </c>
      <c r="O48" s="54">
        <v>4.8644160812904768E-3</v>
      </c>
      <c r="P48" s="195"/>
      <c r="Q48" s="7"/>
    </row>
    <row r="49" spans="2:17" x14ac:dyDescent="0.25">
      <c r="B49" s="5"/>
      <c r="C49" s="2" t="s">
        <v>86</v>
      </c>
      <c r="D49" s="3">
        <v>5.0999999999999996</v>
      </c>
      <c r="E49" s="3" t="s">
        <v>87</v>
      </c>
      <c r="F49" s="164"/>
      <c r="G49" s="6"/>
      <c r="H49" s="15" t="s">
        <v>93</v>
      </c>
      <c r="I49" s="16" t="s">
        <v>87</v>
      </c>
      <c r="J49" s="16">
        <v>25.41</v>
      </c>
      <c r="K49" s="167"/>
      <c r="L49" s="6"/>
      <c r="M49" s="2" t="s">
        <v>145</v>
      </c>
      <c r="N49" s="53">
        <v>0.2941594237418485</v>
      </c>
      <c r="O49" s="54">
        <v>0.51657274714227441</v>
      </c>
      <c r="P49" s="195"/>
      <c r="Q49" s="7"/>
    </row>
    <row r="50" spans="2:17" ht="15.75" thickBot="1" x14ac:dyDescent="0.3">
      <c r="B50" s="8"/>
      <c r="C50" s="9"/>
      <c r="D50" s="9"/>
      <c r="E50" s="9"/>
      <c r="F50" s="9"/>
      <c r="G50" s="9"/>
      <c r="H50" s="9"/>
      <c r="I50" s="9"/>
      <c r="J50" s="9"/>
      <c r="K50" s="9"/>
      <c r="L50" s="9"/>
      <c r="M50" s="9"/>
      <c r="N50" s="9"/>
      <c r="O50" s="9"/>
      <c r="P50" s="9"/>
      <c r="Q50" s="10"/>
    </row>
  </sheetData>
  <mergeCells count="59">
    <mergeCell ref="M38:P38"/>
    <mergeCell ref="M39:M40"/>
    <mergeCell ref="N39:O39"/>
    <mergeCell ref="P39:P40"/>
    <mergeCell ref="P41:P49"/>
    <mergeCell ref="D43:E43"/>
    <mergeCell ref="C42:F42"/>
    <mergeCell ref="H42:K42"/>
    <mergeCell ref="F27:F28"/>
    <mergeCell ref="H34:K34"/>
    <mergeCell ref="D27:E27"/>
    <mergeCell ref="I27:J27"/>
    <mergeCell ref="K27:K28"/>
    <mergeCell ref="F29:F32"/>
    <mergeCell ref="K37:K40"/>
    <mergeCell ref="F37:F39"/>
    <mergeCell ref="N27:O27"/>
    <mergeCell ref="P27:P28"/>
    <mergeCell ref="M27:M28"/>
    <mergeCell ref="C26:F26"/>
    <mergeCell ref="C27:C28"/>
    <mergeCell ref="C19:P19"/>
    <mergeCell ref="C20:P20"/>
    <mergeCell ref="C22:P22"/>
    <mergeCell ref="M26:P26"/>
    <mergeCell ref="H26:K26"/>
    <mergeCell ref="C24:P24"/>
    <mergeCell ref="C3:P3"/>
    <mergeCell ref="C4:P4"/>
    <mergeCell ref="C5:P5"/>
    <mergeCell ref="C6:P6"/>
    <mergeCell ref="C7:P7"/>
    <mergeCell ref="C8:P8"/>
    <mergeCell ref="C9:P9"/>
    <mergeCell ref="C10:P10"/>
    <mergeCell ref="C11:P11"/>
    <mergeCell ref="C12:P12"/>
    <mergeCell ref="C13:P13"/>
    <mergeCell ref="C14:P14"/>
    <mergeCell ref="C15:P15"/>
    <mergeCell ref="K29:K32"/>
    <mergeCell ref="P29:P36"/>
    <mergeCell ref="C34:F34"/>
    <mergeCell ref="C35:C36"/>
    <mergeCell ref="D35:E35"/>
    <mergeCell ref="F35:F36"/>
    <mergeCell ref="H35:H36"/>
    <mergeCell ref="I35:J35"/>
    <mergeCell ref="K35:K36"/>
    <mergeCell ref="C16:P16"/>
    <mergeCell ref="C17:P17"/>
    <mergeCell ref="H27:H28"/>
    <mergeCell ref="C18:P18"/>
    <mergeCell ref="F45:F49"/>
    <mergeCell ref="K45:K49"/>
    <mergeCell ref="F43:F44"/>
    <mergeCell ref="K43:K44"/>
    <mergeCell ref="H43:H44"/>
    <mergeCell ref="I43:J43"/>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A27"/>
  <sheetViews>
    <sheetView showGridLines="0" topLeftCell="R1" workbookViewId="0">
      <selection activeCell="X4" sqref="X4"/>
    </sheetView>
  </sheetViews>
  <sheetFormatPr defaultRowHeight="15" x14ac:dyDescent="0.25"/>
  <cols>
    <col min="1" max="1" width="9.140625" style="26" collapsed="1"/>
    <col min="2" max="2" width="18" style="26" bestFit="1" customWidth="1" collapsed="1"/>
    <col min="3" max="3" width="11.42578125" style="26" bestFit="1" customWidth="1" collapsed="1"/>
    <col min="4" max="12" width="19.85546875" style="26" bestFit="1" customWidth="1" collapsed="1"/>
    <col min="13" max="13" width="20.85546875" style="26" bestFit="1" customWidth="1" collapsed="1"/>
    <col min="14" max="19" width="9.140625" style="26" collapsed="1"/>
    <col min="20" max="20" width="24" style="26" bestFit="1" customWidth="1" collapsed="1"/>
    <col min="21" max="21" width="19.7109375" style="26" bestFit="1" customWidth="1" collapsed="1"/>
    <col min="22" max="22" width="44.140625" style="26" bestFit="1" customWidth="1" collapsed="1"/>
    <col min="23" max="23" width="5" style="27" bestFit="1" customWidth="1" collapsed="1"/>
    <col min="24" max="24" width="12" style="86" bestFit="1" customWidth="1" collapsed="1"/>
    <col min="25" max="26" width="9.140625" style="26" collapsed="1"/>
    <col min="27" max="27" width="33.28515625" style="26" bestFit="1" customWidth="1" collapsed="1"/>
    <col min="28" max="16384" width="9.140625" style="26" collapsed="1"/>
  </cols>
  <sheetData>
    <row r="1" spans="2:27" x14ac:dyDescent="0.25">
      <c r="B1" s="26" t="s">
        <v>15</v>
      </c>
      <c r="C1" s="26" t="s">
        <v>37</v>
      </c>
      <c r="D1" s="26" t="s">
        <v>17</v>
      </c>
      <c r="E1" s="26" t="s">
        <v>18</v>
      </c>
      <c r="F1" s="26" t="s">
        <v>19</v>
      </c>
      <c r="G1" s="26" t="s">
        <v>20</v>
      </c>
      <c r="H1" s="26" t="s">
        <v>21</v>
      </c>
      <c r="I1" s="26" t="s">
        <v>22</v>
      </c>
      <c r="J1" s="26" t="s">
        <v>23</v>
      </c>
      <c r="K1" s="26" t="s">
        <v>24</v>
      </c>
      <c r="L1" s="26" t="s">
        <v>25</v>
      </c>
      <c r="M1" s="26" t="s">
        <v>26</v>
      </c>
      <c r="T1" s="26" t="s">
        <v>39</v>
      </c>
      <c r="U1" s="26" t="s">
        <v>3</v>
      </c>
      <c r="V1" s="26" t="s">
        <v>38</v>
      </c>
      <c r="W1" s="27" t="s">
        <v>40</v>
      </c>
      <c r="X1" s="86" t="s">
        <v>41</v>
      </c>
      <c r="AA1" s="26" t="s">
        <v>130</v>
      </c>
    </row>
    <row r="2" spans="2:27" x14ac:dyDescent="0.25">
      <c r="B2" s="26" t="str">
        <f>IF('Setup Parameters'!C7="","",'Setup Parameters'!C7)</f>
        <v>JFM19_Jan_Sprint</v>
      </c>
      <c r="C2" s="26" t="s">
        <v>27</v>
      </c>
      <c r="D2" s="28" t="str">
        <f>IF('Setup Parameters'!B13="","",'Setup Parameters'!B13)</f>
        <v>Sprint Management</v>
      </c>
      <c r="E2" s="28" t="str">
        <f>IF('Setup Parameters'!H13="","",'Setup Parameters'!H13)</f>
        <v>Sprint Management</v>
      </c>
      <c r="F2" s="28" t="str">
        <f>IF('Setup Parameters'!N13="","",'Setup Parameters'!N13)</f>
        <v>Project Management</v>
      </c>
      <c r="G2" s="28" t="str">
        <f>IF('Setup Parameters'!T13="","",'Setup Parameters'!T13)</f>
        <v>Project Management</v>
      </c>
      <c r="H2" s="28" t="str">
        <f>IF('Setup Parameters'!Z13="","",'Setup Parameters'!Z13)</f>
        <v>Project Management</v>
      </c>
      <c r="I2" s="28" t="str">
        <f>IF('Setup Parameters'!AF13="","",'Setup Parameters'!AF13)</f>
        <v>Project Management</v>
      </c>
      <c r="J2" s="28" t="str">
        <f>IF('Setup Parameters'!AL13="","",'Setup Parameters'!AL13)</f>
        <v>Project Management</v>
      </c>
      <c r="K2" s="28" t="str">
        <f>IF('Setup Parameters'!AR13="","",'Setup Parameters'!AR13)</f>
        <v>Project Management</v>
      </c>
      <c r="L2" s="28" t="str">
        <f>IF('Setup Parameters'!AX13="","",'Setup Parameters'!AX13)</f>
        <v>Project Management</v>
      </c>
      <c r="M2" s="28" t="str">
        <f>IF('Setup Parameters'!BD13="","",'Setup Parameters'!BD13)</f>
        <v>Project Management</v>
      </c>
      <c r="T2" s="26" t="s">
        <v>261</v>
      </c>
      <c r="U2" s="26" t="s">
        <v>200</v>
      </c>
      <c r="V2" s="26" t="s">
        <v>284</v>
      </c>
      <c r="X2" s="86">
        <v>0</v>
      </c>
      <c r="AA2" s="29" t="s">
        <v>117</v>
      </c>
    </row>
    <row r="3" spans="2:27" x14ac:dyDescent="0.25">
      <c r="B3" s="26" t="str">
        <f>IF('Setup Parameters'!I7="","",'Setup Parameters'!I7)</f>
        <v>JFM_Feb_Sprint</v>
      </c>
      <c r="C3" s="26" t="s">
        <v>28</v>
      </c>
      <c r="D3" s="28" t="str">
        <f>IF('Setup Parameters'!B14="","",'Setup Parameters'!B14)</f>
        <v>Sprint Support</v>
      </c>
      <c r="E3" s="28" t="str">
        <f>IF('Setup Parameters'!H14="","",'Setup Parameters'!H14)</f>
        <v>Sprint Support</v>
      </c>
      <c r="F3" s="28" t="str">
        <f>IF('Setup Parameters'!N14="","",'Setup Parameters'!N14)</f>
        <v>Project Support</v>
      </c>
      <c r="G3" s="28" t="str">
        <f>IF('Setup Parameters'!T14="","",'Setup Parameters'!T14)</f>
        <v>Project Support</v>
      </c>
      <c r="H3" s="28" t="str">
        <f>IF('Setup Parameters'!Z14="","",'Setup Parameters'!Z14)</f>
        <v>Project Support</v>
      </c>
      <c r="I3" s="28" t="str">
        <f>IF('Setup Parameters'!AF14="","",'Setup Parameters'!AF14)</f>
        <v>Project Support</v>
      </c>
      <c r="J3" s="28" t="str">
        <f>IF('Setup Parameters'!AL14="","",'Setup Parameters'!AL14)</f>
        <v>Project Support</v>
      </c>
      <c r="K3" s="28" t="str">
        <f>IF('Setup Parameters'!AR14="","",'Setup Parameters'!AR14)</f>
        <v>Project Support</v>
      </c>
      <c r="L3" s="28" t="str">
        <f>IF('Setup Parameters'!AX14="","",'Setup Parameters'!AX14)</f>
        <v>Project Support</v>
      </c>
      <c r="M3" s="28" t="str">
        <f>IF('Setup Parameters'!BD14="","",'Setup Parameters'!BD14)</f>
        <v>Project Support</v>
      </c>
      <c r="T3" s="26" t="s">
        <v>261</v>
      </c>
      <c r="U3" s="26" t="s">
        <v>201</v>
      </c>
      <c r="V3" s="26" t="s">
        <v>285</v>
      </c>
      <c r="X3" s="86">
        <v>0</v>
      </c>
      <c r="AA3" s="29" t="s">
        <v>81</v>
      </c>
    </row>
    <row r="4" spans="2:27" x14ac:dyDescent="0.25">
      <c r="B4" s="26" t="str">
        <f>IF('Setup Parameters'!O7="","",'Setup Parameters'!O7)</f>
        <v/>
      </c>
      <c r="C4" s="26" t="s">
        <v>29</v>
      </c>
      <c r="D4" s="28" t="str">
        <f>IF('Setup Parameters'!B15="","",'Setup Parameters'!B15)</f>
        <v>Code development</v>
      </c>
      <c r="E4" s="28" t="str">
        <f>IF('Setup Parameters'!H15="","",'Setup Parameters'!H15)</f>
        <v>Code development</v>
      </c>
      <c r="F4" s="28" t="str">
        <f>IF('Setup Parameters'!N15="","",'Setup Parameters'!N15)</f>
        <v>Code development</v>
      </c>
      <c r="G4" s="28" t="str">
        <f>IF('Setup Parameters'!T15="","",'Setup Parameters'!T15)</f>
        <v>Code development</v>
      </c>
      <c r="H4" s="28" t="str">
        <f>IF('Setup Parameters'!Z15="","",'Setup Parameters'!Z15)</f>
        <v>Develop required service to retrieve data from DA layer</v>
      </c>
      <c r="I4" s="28" t="str">
        <f>IF('Setup Parameters'!AF15="","",'Setup Parameters'!AF15)</f>
        <v/>
      </c>
      <c r="J4" s="28" t="str">
        <f>IF('Setup Parameters'!AL15="","",'Setup Parameters'!AL15)</f>
        <v/>
      </c>
      <c r="K4" s="28" t="str">
        <f>IF('Setup Parameters'!AR15="","",'Setup Parameters'!AR15)</f>
        <v/>
      </c>
      <c r="L4" s="28" t="str">
        <f>IF('Setup Parameters'!AX15="","",'Setup Parameters'!AX15)</f>
        <v/>
      </c>
      <c r="M4" s="28" t="str">
        <f>IF('Setup Parameters'!BD15="","",'Setup Parameters'!BD15)</f>
        <v/>
      </c>
      <c r="T4" s="26" t="s">
        <v>261</v>
      </c>
      <c r="U4" s="26" t="s">
        <v>138</v>
      </c>
      <c r="V4" s="26" t="s">
        <v>286</v>
      </c>
      <c r="W4" s="27">
        <v>322.40000000000003</v>
      </c>
      <c r="X4" s="86">
        <v>2302.86</v>
      </c>
      <c r="AA4" s="29" t="s">
        <v>82</v>
      </c>
    </row>
    <row r="5" spans="2:27" x14ac:dyDescent="0.25">
      <c r="B5" s="26" t="str">
        <f>IF('Setup Parameters'!U7="","",'Setup Parameters'!U7)</f>
        <v/>
      </c>
      <c r="C5" s="26" t="s">
        <v>30</v>
      </c>
      <c r="D5" s="28" t="str">
        <f>IF('Setup Parameters'!B16="","",'Setup Parameters'!B16)</f>
        <v>Test case creation</v>
      </c>
      <c r="E5" s="28" t="str">
        <f>IF('Setup Parameters'!H16="","",'Setup Parameters'!H16)</f>
        <v>Test case creation</v>
      </c>
      <c r="F5" s="28" t="str">
        <f>IF('Setup Parameters'!N16="","",'Setup Parameters'!N16)</f>
        <v>Test case creation</v>
      </c>
      <c r="G5" s="28" t="str">
        <f>IF('Setup Parameters'!T16="","",'Setup Parameters'!T16)</f>
        <v>Test case creation</v>
      </c>
      <c r="H5" s="28" t="str">
        <f>IF('Setup Parameters'!Z16="","",'Setup Parameters'!Z16)</f>
        <v>File Upload UI</v>
      </c>
      <c r="I5" s="28" t="str">
        <f>IF('Setup Parameters'!AF16="","",'Setup Parameters'!AF16)</f>
        <v/>
      </c>
      <c r="J5" s="28" t="str">
        <f>IF('Setup Parameters'!AL16="","",'Setup Parameters'!AL16)</f>
        <v/>
      </c>
      <c r="K5" s="28" t="str">
        <f>IF('Setup Parameters'!AR16="","",'Setup Parameters'!AR16)</f>
        <v/>
      </c>
      <c r="L5" s="28" t="str">
        <f>IF('Setup Parameters'!AX16="","",'Setup Parameters'!AX16)</f>
        <v/>
      </c>
      <c r="M5" s="28" t="str">
        <f>IF('Setup Parameters'!BD16="","",'Setup Parameters'!BD16)</f>
        <v/>
      </c>
      <c r="T5" s="26" t="s">
        <v>261</v>
      </c>
      <c r="U5" s="26" t="s">
        <v>51</v>
      </c>
      <c r="V5" s="26" t="s">
        <v>287</v>
      </c>
      <c r="W5" s="27">
        <v>40.300000000000004</v>
      </c>
      <c r="X5" s="86">
        <v>287.86</v>
      </c>
      <c r="AA5" s="29" t="s">
        <v>118</v>
      </c>
    </row>
    <row r="6" spans="2:27" x14ac:dyDescent="0.25">
      <c r="B6" s="26" t="str">
        <f>IF('Setup Parameters'!AA7="","",'Setup Parameters'!AA7)</f>
        <v/>
      </c>
      <c r="C6" s="26" t="s">
        <v>31</v>
      </c>
      <c r="D6" s="28" t="str">
        <f>IF('Setup Parameters'!B17="","",'Setup Parameters'!B17)</f>
        <v>Test case review</v>
      </c>
      <c r="E6" s="28" t="str">
        <f>IF('Setup Parameters'!H17="","",'Setup Parameters'!H17)</f>
        <v>Test case review</v>
      </c>
      <c r="F6" s="28" t="str">
        <f>IF('Setup Parameters'!N17="","",'Setup Parameters'!N17)</f>
        <v>Test case review</v>
      </c>
      <c r="G6" s="28" t="str">
        <f>IF('Setup Parameters'!T17="","",'Setup Parameters'!T17)</f>
        <v>Test case review</v>
      </c>
      <c r="H6" s="28" t="str">
        <f>IF('Setup Parameters'!Z17="","",'Setup Parameters'!Z17)</f>
        <v>UI to search specific node - first level search</v>
      </c>
      <c r="I6" s="28" t="str">
        <f>IF('Setup Parameters'!AF17="","",'Setup Parameters'!AF17)</f>
        <v/>
      </c>
      <c r="J6" s="28" t="str">
        <f>IF('Setup Parameters'!AL17="","",'Setup Parameters'!AL17)</f>
        <v/>
      </c>
      <c r="K6" s="28" t="str">
        <f>IF('Setup Parameters'!AR17="","",'Setup Parameters'!AR17)</f>
        <v/>
      </c>
      <c r="L6" s="28" t="str">
        <f>IF('Setup Parameters'!AX17="","",'Setup Parameters'!AX17)</f>
        <v/>
      </c>
      <c r="M6" s="28" t="str">
        <f>IF('Setup Parameters'!BD17="","",'Setup Parameters'!BD17)</f>
        <v/>
      </c>
      <c r="T6" s="26" t="s">
        <v>261</v>
      </c>
      <c r="U6" s="26" t="s">
        <v>139</v>
      </c>
      <c r="V6" s="26" t="s">
        <v>288</v>
      </c>
      <c r="W6" s="27">
        <v>16.12</v>
      </c>
      <c r="X6" s="86">
        <v>115.14</v>
      </c>
      <c r="AA6" s="29" t="s">
        <v>119</v>
      </c>
    </row>
    <row r="7" spans="2:27" x14ac:dyDescent="0.25">
      <c r="B7" s="26" t="str">
        <f>IF('Setup Parameters'!AG7="","",'Setup Parameters'!AG7)</f>
        <v/>
      </c>
      <c r="C7" s="26" t="s">
        <v>32</v>
      </c>
      <c r="D7" s="28" t="str">
        <f>IF('Setup Parameters'!B18="","",'Setup Parameters'!B18)</f>
        <v>Manual testing</v>
      </c>
      <c r="E7" s="28" t="str">
        <f>IF('Setup Parameters'!H18="","",'Setup Parameters'!H18)</f>
        <v>Manual testing</v>
      </c>
      <c r="F7" s="28" t="str">
        <f>IF('Setup Parameters'!N18="","",'Setup Parameters'!N18)</f>
        <v>Manual testing</v>
      </c>
      <c r="G7" s="28" t="str">
        <f>IF('Setup Parameters'!T18="","",'Setup Parameters'!T18)</f>
        <v>Manual testing</v>
      </c>
      <c r="H7" s="28" t="str">
        <f>IF('Setup Parameters'!Z18="","",'Setup Parameters'!Z18)</f>
        <v>UI grid to display node search result</v>
      </c>
      <c r="I7" s="28" t="str">
        <f>IF('Setup Parameters'!AF18="","",'Setup Parameters'!AF18)</f>
        <v/>
      </c>
      <c r="J7" s="28" t="str">
        <f>IF('Setup Parameters'!AL18="","",'Setup Parameters'!AL18)</f>
        <v/>
      </c>
      <c r="K7" s="28" t="str">
        <f>IF('Setup Parameters'!AR18="","",'Setup Parameters'!AR18)</f>
        <v/>
      </c>
      <c r="L7" s="28" t="str">
        <f>IF('Setup Parameters'!AX18="","",'Setup Parameters'!AX18)</f>
        <v/>
      </c>
      <c r="M7" s="28" t="str">
        <f>IF('Setup Parameters'!BD18="","",'Setup Parameters'!BD18)</f>
        <v/>
      </c>
      <c r="T7" s="26" t="s">
        <v>261</v>
      </c>
      <c r="U7" s="26" t="s">
        <v>140</v>
      </c>
      <c r="V7" s="26" t="s">
        <v>289</v>
      </c>
      <c r="W7" s="27">
        <v>80.600000000000009</v>
      </c>
      <c r="X7" s="86">
        <v>575.71</v>
      </c>
      <c r="AA7" s="29" t="s">
        <v>88</v>
      </c>
    </row>
    <row r="8" spans="2:27" x14ac:dyDescent="0.25">
      <c r="B8" s="26" t="str">
        <f>IF('Setup Parameters'!AM7="","",'Setup Parameters'!AM7)</f>
        <v/>
      </c>
      <c r="C8" s="26" t="s">
        <v>33</v>
      </c>
      <c r="D8" s="28" t="str">
        <f>IF('Setup Parameters'!B19="","",'Setup Parameters'!B19)</f>
        <v>Automation testing</v>
      </c>
      <c r="E8" s="28" t="str">
        <f>IF('Setup Parameters'!H19="","",'Setup Parameters'!H19)</f>
        <v>Automation testing</v>
      </c>
      <c r="F8" s="28" t="str">
        <f>IF('Setup Parameters'!N19="","",'Setup Parameters'!N19)</f>
        <v>Automation testing</v>
      </c>
      <c r="G8" s="28" t="str">
        <f>IF('Setup Parameters'!T19="","",'Setup Parameters'!T19)</f>
        <v>Automation testing</v>
      </c>
      <c r="H8" s="28" t="str">
        <f>IF('Setup Parameters'!Z19="","",'Setup Parameters'!Z19)</f>
        <v>UI Grid for presenting the response data</v>
      </c>
      <c r="I8" s="28" t="str">
        <f>IF('Setup Parameters'!AF19="","",'Setup Parameters'!AF19)</f>
        <v/>
      </c>
      <c r="J8" s="28" t="str">
        <f>IF('Setup Parameters'!AL19="","",'Setup Parameters'!AL19)</f>
        <v/>
      </c>
      <c r="K8" s="28" t="str">
        <f>IF('Setup Parameters'!AR19="","",'Setup Parameters'!AR19)</f>
        <v/>
      </c>
      <c r="L8" s="28" t="str">
        <f>IF('Setup Parameters'!AX19="","",'Setup Parameters'!AX19)</f>
        <v/>
      </c>
      <c r="M8" s="28" t="str">
        <f>IF('Setup Parameters'!BD19="","",'Setup Parameters'!BD19)</f>
        <v/>
      </c>
      <c r="T8" s="26" t="s">
        <v>261</v>
      </c>
      <c r="U8" s="26" t="s">
        <v>141</v>
      </c>
      <c r="V8" s="26" t="s">
        <v>290</v>
      </c>
      <c r="W8" s="27">
        <v>0</v>
      </c>
      <c r="X8" s="86">
        <v>0</v>
      </c>
      <c r="AA8" s="29" t="s">
        <v>120</v>
      </c>
    </row>
    <row r="9" spans="2:27" x14ac:dyDescent="0.25">
      <c r="B9" s="26" t="str">
        <f>IF('Setup Parameters'!AS7="","",'Setup Parameters'!AS7)</f>
        <v/>
      </c>
      <c r="C9" s="26" t="s">
        <v>34</v>
      </c>
      <c r="D9" s="28" t="str">
        <f>IF('Setup Parameters'!B20="","",'Setup Parameters'!B20)</f>
        <v>Sprint rework</v>
      </c>
      <c r="E9" s="28" t="str">
        <f>IF('Setup Parameters'!H20="","",'Setup Parameters'!H20)</f>
        <v>Sprint Review and Rework</v>
      </c>
      <c r="F9" s="28" t="str">
        <f>IF('Setup Parameters'!N20="","",'Setup Parameters'!N20)</f>
        <v>Sprint rework</v>
      </c>
      <c r="G9" s="28" t="str">
        <f>IF('Setup Parameters'!T20="","",'Setup Parameters'!T20)</f>
        <v>Sprint rework</v>
      </c>
      <c r="H9" s="28" t="str">
        <f>IF('Setup Parameters'!Z20="","",'Setup Parameters'!Z20)</f>
        <v>UI Changes for multi select</v>
      </c>
      <c r="I9" s="28" t="str">
        <f>IF('Setup Parameters'!AF20="","",'Setup Parameters'!AF20)</f>
        <v/>
      </c>
      <c r="J9" s="28" t="str">
        <f>IF('Setup Parameters'!AL20="","",'Setup Parameters'!AL20)</f>
        <v/>
      </c>
      <c r="K9" s="28" t="str">
        <f>IF('Setup Parameters'!AR20="","",'Setup Parameters'!AR20)</f>
        <v/>
      </c>
      <c r="L9" s="28" t="str">
        <f>IF('Setup Parameters'!AX20="","",'Setup Parameters'!AX20)</f>
        <v/>
      </c>
      <c r="M9" s="28" t="str">
        <f>IF('Setup Parameters'!BD20="","",'Setup Parameters'!BD20)</f>
        <v/>
      </c>
      <c r="T9" s="26" t="s">
        <v>261</v>
      </c>
      <c r="U9" s="26" t="s">
        <v>143</v>
      </c>
      <c r="V9" s="26" t="s">
        <v>291</v>
      </c>
      <c r="W9" s="27">
        <v>64.48</v>
      </c>
      <c r="X9" s="86">
        <v>460.57</v>
      </c>
      <c r="AA9" s="29" t="s">
        <v>100</v>
      </c>
    </row>
    <row r="10" spans="2:27" x14ac:dyDescent="0.25">
      <c r="B10" s="26" t="str">
        <f>IF('Setup Parameters'!AY7="","",'Setup Parameters'!AY7)</f>
        <v/>
      </c>
      <c r="C10" s="26" t="s">
        <v>35</v>
      </c>
      <c r="D10" s="28" t="str">
        <f>IF('Setup Parameters'!B21="","",'Setup Parameters'!B21)</f>
        <v>Sprint demo</v>
      </c>
      <c r="E10" s="28" t="str">
        <f>IF('Setup Parameters'!H21="","",'Setup Parameters'!H21)</f>
        <v>Sprint demo</v>
      </c>
      <c r="F10" s="28" t="str">
        <f>IF('Setup Parameters'!N21="","",'Setup Parameters'!N21)</f>
        <v>Sprint demo</v>
      </c>
      <c r="G10" s="28" t="str">
        <f>IF('Setup Parameters'!T21="","",'Setup Parameters'!T21)</f>
        <v>Sprint demo</v>
      </c>
      <c r="H10" s="28" t="str">
        <f>IF('Setup Parameters'!Z21="","",'Setup Parameters'!Z21)</f>
        <v>UI to plot sankey</v>
      </c>
      <c r="I10" s="28" t="str">
        <f>IF('Setup Parameters'!AF21="","",'Setup Parameters'!AF21)</f>
        <v/>
      </c>
      <c r="J10" s="28" t="str">
        <f>IF('Setup Parameters'!AL21="","",'Setup Parameters'!AL21)</f>
        <v/>
      </c>
      <c r="K10" s="28" t="str">
        <f>IF('Setup Parameters'!AR21="","",'Setup Parameters'!AR21)</f>
        <v/>
      </c>
      <c r="L10" s="28" t="str">
        <f>IF('Setup Parameters'!AX21="","",'Setup Parameters'!AX21)</f>
        <v/>
      </c>
      <c r="M10" s="28" t="str">
        <f>IF('Setup Parameters'!BD21="","",'Setup Parameters'!BD21)</f>
        <v/>
      </c>
      <c r="T10" s="26" t="s">
        <v>261</v>
      </c>
      <c r="U10" s="26" t="s">
        <v>142</v>
      </c>
      <c r="V10" s="26" t="s">
        <v>292</v>
      </c>
      <c r="W10" s="27">
        <v>0</v>
      </c>
      <c r="X10" s="86">
        <v>0</v>
      </c>
      <c r="AA10" s="29" t="s">
        <v>121</v>
      </c>
    </row>
    <row r="11" spans="2:27" x14ac:dyDescent="0.25">
      <c r="B11" s="26" t="str">
        <f>IF('Setup Parameters'!BE7="","",'Setup Parameters'!BE7)</f>
        <v/>
      </c>
      <c r="C11" s="26" t="s">
        <v>36</v>
      </c>
      <c r="D11" s="28" t="str">
        <f>IF('Setup Parameters'!B22="","",'Setup Parameters'!B22)</f>
        <v>Resolving impediments</v>
      </c>
      <c r="E11" s="28" t="str">
        <f>IF('Setup Parameters'!H22="","",'Setup Parameters'!H22)</f>
        <v>Resolving impediments</v>
      </c>
      <c r="F11" s="28" t="str">
        <f>IF('Setup Parameters'!N22="","",'Setup Parameters'!N22)</f>
        <v>Resolving impediments</v>
      </c>
      <c r="G11" s="28" t="str">
        <f>IF('Setup Parameters'!T22="","",'Setup Parameters'!T22)</f>
        <v>Resolving impediments</v>
      </c>
      <c r="H11" s="28" t="str">
        <f>IF('Setup Parameters'!Z22="","",'Setup Parameters'!Z22)</f>
        <v xml:space="preserve">Zoom in / out for sankey </v>
      </c>
      <c r="I11" s="28" t="str">
        <f>IF('Setup Parameters'!AF22="","",'Setup Parameters'!AF22)</f>
        <v/>
      </c>
      <c r="J11" s="28" t="str">
        <f>IF('Setup Parameters'!AL22="","",'Setup Parameters'!AL22)</f>
        <v/>
      </c>
      <c r="K11" s="28" t="str">
        <f>IF('Setup Parameters'!AR22="","",'Setup Parameters'!AR22)</f>
        <v/>
      </c>
      <c r="L11" s="28" t="str">
        <f>IF('Setup Parameters'!AX22="","",'Setup Parameters'!AX22)</f>
        <v/>
      </c>
      <c r="M11" s="28" t="str">
        <f>IF('Setup Parameters'!BD22="","",'Setup Parameters'!BD22)</f>
        <v/>
      </c>
      <c r="T11" s="26" t="s">
        <v>261</v>
      </c>
      <c r="U11" s="26" t="s">
        <v>144</v>
      </c>
      <c r="V11" s="26" t="s">
        <v>293</v>
      </c>
      <c r="W11" s="27">
        <v>40.300000000000004</v>
      </c>
      <c r="X11" s="86">
        <v>287.86</v>
      </c>
      <c r="AA11" s="29" t="s">
        <v>122</v>
      </c>
    </row>
    <row r="12" spans="2:27" x14ac:dyDescent="0.25">
      <c r="D12" s="28" t="str">
        <f>IF('Setup Parameters'!B23="","",'Setup Parameters'!B23)</f>
        <v>Others (such as -Analysis, Design, CI)</v>
      </c>
      <c r="E12" s="28" t="str">
        <f>IF('Setup Parameters'!H23="","",'Setup Parameters'!H23)</f>
        <v>Others (such as -Analysis, Design, CI)</v>
      </c>
      <c r="F12" s="28" t="str">
        <f>IF('Setup Parameters'!N23="","",'Setup Parameters'!N23)</f>
        <v>Others (such as -Analysis, Design, CI)</v>
      </c>
      <c r="G12" s="28" t="str">
        <f>IF('Setup Parameters'!T23="","",'Setup Parameters'!T23)</f>
        <v>Others (such as -Analysis, Design, CI)</v>
      </c>
      <c r="H12" s="28" t="str">
        <f>IF('Setup Parameters'!Z23="","",'Setup Parameters'!Z23)</f>
        <v>Traceability for multi select</v>
      </c>
      <c r="I12" s="28" t="str">
        <f>IF('Setup Parameters'!AF23="","",'Setup Parameters'!AF23)</f>
        <v/>
      </c>
      <c r="J12" s="28" t="str">
        <f>IF('Setup Parameters'!AL23="","",'Setup Parameters'!AL23)</f>
        <v/>
      </c>
      <c r="K12" s="28" t="str">
        <f>IF('Setup Parameters'!AR23="","",'Setup Parameters'!AR23)</f>
        <v/>
      </c>
      <c r="L12" s="28" t="str">
        <f>IF('Setup Parameters'!AX23="","",'Setup Parameters'!AX23)</f>
        <v/>
      </c>
      <c r="M12" s="28" t="str">
        <f>IF('Setup Parameters'!BD23="","",'Setup Parameters'!BD23)</f>
        <v/>
      </c>
      <c r="T12" s="26" t="s">
        <v>261</v>
      </c>
      <c r="U12" s="26" t="s">
        <v>145</v>
      </c>
      <c r="V12" s="26" t="s">
        <v>294</v>
      </c>
      <c r="W12" s="27">
        <v>120.89999999999999</v>
      </c>
      <c r="X12" s="86">
        <v>863.57</v>
      </c>
      <c r="AA12" s="29" t="s">
        <v>123</v>
      </c>
    </row>
    <row r="13" spans="2:27" x14ac:dyDescent="0.25">
      <c r="D13" s="28" t="str">
        <f>IF('Setup Parameters'!B24="","",'Setup Parameters'!B24)</f>
        <v>Sprint Management Activities</v>
      </c>
      <c r="E13" s="28" t="str">
        <f>IF('Setup Parameters'!H24="","",'Setup Parameters'!H24)</f>
        <v>Sprint Management Activities</v>
      </c>
      <c r="F13" s="28" t="str">
        <f>IF('Setup Parameters'!N24="","",'Setup Parameters'!N24)</f>
        <v>Sprint Management Activities</v>
      </c>
      <c r="G13" s="28" t="str">
        <f>IF('Setup Parameters'!T24="","",'Setup Parameters'!T24)</f>
        <v>Sprint Management Activities</v>
      </c>
      <c r="H13" s="28" t="str">
        <f>IF('Setup Parameters'!Z24="","",'Setup Parameters'!Z24)</f>
        <v>UI changes to Hide nodes in between existing sankey for proper view</v>
      </c>
      <c r="I13" s="28" t="str">
        <f>IF('Setup Parameters'!AF24="","",'Setup Parameters'!AF24)</f>
        <v/>
      </c>
      <c r="J13" s="28" t="str">
        <f>IF('Setup Parameters'!AL24="","",'Setup Parameters'!AL24)</f>
        <v/>
      </c>
      <c r="K13" s="28" t="str">
        <f>IF('Setup Parameters'!AR24="","",'Setup Parameters'!AR24)</f>
        <v/>
      </c>
      <c r="L13" s="28" t="str">
        <f>IF('Setup Parameters'!AX24="","",'Setup Parameters'!AX24)</f>
        <v/>
      </c>
      <c r="M13" s="28" t="str">
        <f>IF('Setup Parameters'!BD24="","",'Setup Parameters'!BD24)</f>
        <v/>
      </c>
      <c r="T13" s="26" t="s">
        <v>261</v>
      </c>
      <c r="U13" s="26" t="s">
        <v>236</v>
      </c>
      <c r="V13" s="26" t="s">
        <v>295</v>
      </c>
      <c r="W13" s="27">
        <v>40.300000000000004</v>
      </c>
      <c r="X13" s="86">
        <v>287.86</v>
      </c>
      <c r="AA13" s="29" t="s">
        <v>124</v>
      </c>
    </row>
    <row r="14" spans="2:27" x14ac:dyDescent="0.25">
      <c r="D14" s="28" t="str">
        <f>IF('Setup Parameters'!B25="","",'Setup Parameters'!B25)</f>
        <v>Sprint Support Activities</v>
      </c>
      <c r="E14" s="28" t="str">
        <f>IF('Setup Parameters'!H25="","",'Setup Parameters'!H25)</f>
        <v>Sprint Support Activities</v>
      </c>
      <c r="F14" s="28" t="str">
        <f>IF('Setup Parameters'!N25="","",'Setup Parameters'!N25)</f>
        <v>Sprint Support Activities</v>
      </c>
      <c r="G14" s="28" t="str">
        <f>IF('Setup Parameters'!T25="","",'Setup Parameters'!T25)</f>
        <v>Sprint Support Activities</v>
      </c>
      <c r="H14" s="28" t="str">
        <f>IF('Setup Parameters'!Z25="","",'Setup Parameters'!Z25)</f>
        <v>Swapping TIRL and TC</v>
      </c>
      <c r="I14" s="28" t="str">
        <f>IF('Setup Parameters'!AF25="","",'Setup Parameters'!AF25)</f>
        <v/>
      </c>
      <c r="J14" s="28" t="str">
        <f>IF('Setup Parameters'!AL25="","",'Setup Parameters'!AL25)</f>
        <v/>
      </c>
      <c r="K14" s="28" t="str">
        <f>IF('Setup Parameters'!AR25="","",'Setup Parameters'!AR25)</f>
        <v/>
      </c>
      <c r="L14" s="28" t="str">
        <f>IF('Setup Parameters'!AX25="","",'Setup Parameters'!AX25)</f>
        <v/>
      </c>
      <c r="M14" s="28" t="str">
        <f>IF('Setup Parameters'!BD25="","",'Setup Parameters'!BD25)</f>
        <v/>
      </c>
      <c r="T14" s="26" t="s">
        <v>261</v>
      </c>
      <c r="U14" s="26" t="s">
        <v>235</v>
      </c>
      <c r="V14" s="26" t="s">
        <v>296</v>
      </c>
      <c r="W14" s="27">
        <v>80.600000000000009</v>
      </c>
      <c r="X14" s="86">
        <v>575.71</v>
      </c>
      <c r="AA14" s="29" t="s">
        <v>125</v>
      </c>
    </row>
    <row r="15" spans="2:27" x14ac:dyDescent="0.25">
      <c r="D15" s="28" t="str">
        <f>IF('Setup Parameters'!B26="","",'Setup Parameters'!B26)</f>
        <v/>
      </c>
      <c r="E15" s="28" t="str">
        <f>IF('Setup Parameters'!H26="","",'Setup Parameters'!H26)</f>
        <v/>
      </c>
      <c r="F15" s="28" t="str">
        <f>IF('Setup Parameters'!N26="","",'Setup Parameters'!N26)</f>
        <v/>
      </c>
      <c r="G15" s="28" t="str">
        <f>IF('Setup Parameters'!T26="","",'Setup Parameters'!T26)</f>
        <v/>
      </c>
      <c r="H15" s="28" t="str">
        <f>IF('Setup Parameters'!Z26="","",'Setup Parameters'!Z26)</f>
        <v>UI changes for finding concurrent and compatiple TR's</v>
      </c>
      <c r="I15" s="28" t="str">
        <f>IF('Setup Parameters'!AF26="","",'Setup Parameters'!AF26)</f>
        <v/>
      </c>
      <c r="J15" s="28" t="str">
        <f>IF('Setup Parameters'!AL26="","",'Setup Parameters'!AL26)</f>
        <v/>
      </c>
      <c r="K15" s="28" t="str">
        <f>IF('Setup Parameters'!AR26="","",'Setup Parameters'!AR26)</f>
        <v/>
      </c>
      <c r="L15" s="28" t="str">
        <f>IF('Setup Parameters'!AX26="","",'Setup Parameters'!AX26)</f>
        <v/>
      </c>
      <c r="M15" s="28" t="str">
        <f>IF('Setup Parameters'!BD26="","",'Setup Parameters'!BD26)</f>
        <v/>
      </c>
      <c r="T15" s="26" t="s">
        <v>282</v>
      </c>
      <c r="U15" s="26" t="s">
        <v>200</v>
      </c>
      <c r="V15" s="26" t="s">
        <v>297</v>
      </c>
      <c r="X15" s="86">
        <v>0</v>
      </c>
      <c r="AA15" s="29" t="s">
        <v>126</v>
      </c>
    </row>
    <row r="16" spans="2:27" x14ac:dyDescent="0.25">
      <c r="D16" s="28" t="str">
        <f>IF('Setup Parameters'!B27="","",'Setup Parameters'!B27)</f>
        <v/>
      </c>
      <c r="E16" s="28" t="str">
        <f>IF('Setup Parameters'!H27="","",'Setup Parameters'!H27)</f>
        <v/>
      </c>
      <c r="F16" s="28" t="str">
        <f>IF('Setup Parameters'!N27="","",'Setup Parameters'!N27)</f>
        <v/>
      </c>
      <c r="G16" s="28" t="str">
        <f>IF('Setup Parameters'!T27="","",'Setup Parameters'!T27)</f>
        <v/>
      </c>
      <c r="H16" s="28" t="str">
        <f>IF('Setup Parameters'!Z27="","",'Setup Parameters'!Z27)</f>
        <v>UI To display parent child relation</v>
      </c>
      <c r="I16" s="28" t="str">
        <f>IF('Setup Parameters'!AF27="","",'Setup Parameters'!AF27)</f>
        <v/>
      </c>
      <c r="J16" s="28" t="str">
        <f>IF('Setup Parameters'!AL27="","",'Setup Parameters'!AL27)</f>
        <v/>
      </c>
      <c r="K16" s="28" t="str">
        <f>IF('Setup Parameters'!AR27="","",'Setup Parameters'!AR27)</f>
        <v/>
      </c>
      <c r="L16" s="28" t="str">
        <f>IF('Setup Parameters'!AX27="","",'Setup Parameters'!AX27)</f>
        <v/>
      </c>
      <c r="M16" s="28" t="str">
        <f>IF('Setup Parameters'!BD27="","",'Setup Parameters'!BD27)</f>
        <v/>
      </c>
      <c r="T16" s="26" t="s">
        <v>282</v>
      </c>
      <c r="U16" s="26" t="s">
        <v>201</v>
      </c>
      <c r="V16" s="26" t="s">
        <v>298</v>
      </c>
      <c r="X16" s="86">
        <v>0</v>
      </c>
      <c r="AA16" s="29" t="s">
        <v>127</v>
      </c>
    </row>
    <row r="17" spans="4:27" x14ac:dyDescent="0.25">
      <c r="D17" s="28" t="str">
        <f>IF('Setup Parameters'!B28="","",'Setup Parameters'!B28)</f>
        <v/>
      </c>
      <c r="E17" s="28" t="str">
        <f>IF('Setup Parameters'!H28="","",'Setup Parameters'!H28)</f>
        <v/>
      </c>
      <c r="F17" s="28" t="str">
        <f>IF('Setup Parameters'!N28="","",'Setup Parameters'!N28)</f>
        <v/>
      </c>
      <c r="G17" s="28" t="str">
        <f>IF('Setup Parameters'!T28="","",'Setup Parameters'!T28)</f>
        <v/>
      </c>
      <c r="H17" s="28" t="str">
        <f>IF('Setup Parameters'!Z28="","",'Setup Parameters'!Z28)</f>
        <v>Identify the changes required to convert FTCS TIRL interface from SQOOP based interface to file based interface</v>
      </c>
      <c r="I17" s="28" t="str">
        <f>IF('Setup Parameters'!AF28="","",'Setup Parameters'!AF28)</f>
        <v/>
      </c>
      <c r="J17" s="28" t="str">
        <f>IF('Setup Parameters'!AL28="","",'Setup Parameters'!AL28)</f>
        <v/>
      </c>
      <c r="K17" s="28" t="str">
        <f>IF('Setup Parameters'!AR28="","",'Setup Parameters'!AR28)</f>
        <v/>
      </c>
      <c r="L17" s="28" t="str">
        <f>IF('Setup Parameters'!AX28="","",'Setup Parameters'!AX28)</f>
        <v/>
      </c>
      <c r="M17" s="28" t="str">
        <f>IF('Setup Parameters'!BD28="","",'Setup Parameters'!BD28)</f>
        <v/>
      </c>
      <c r="T17" s="26" t="s">
        <v>282</v>
      </c>
      <c r="U17" s="26" t="s">
        <v>138</v>
      </c>
      <c r="V17" s="26" t="s">
        <v>299</v>
      </c>
      <c r="W17" s="27">
        <v>83.2</v>
      </c>
      <c r="X17" s="86">
        <v>594.29</v>
      </c>
      <c r="AA17" s="29" t="s">
        <v>128</v>
      </c>
    </row>
    <row r="18" spans="4:27" x14ac:dyDescent="0.25">
      <c r="D18" s="28" t="str">
        <f>IF('Setup Parameters'!B29="","",'Setup Parameters'!B29)</f>
        <v/>
      </c>
      <c r="E18" s="28" t="str">
        <f>IF('Setup Parameters'!H29="","",'Setup Parameters'!H29)</f>
        <v/>
      </c>
      <c r="F18" s="28" t="str">
        <f>IF('Setup Parameters'!N29="","",'Setup Parameters'!N29)</f>
        <v/>
      </c>
      <c r="G18" s="28" t="str">
        <f>IF('Setup Parameters'!T29="","",'Setup Parameters'!T29)</f>
        <v/>
      </c>
      <c r="H18" s="28" t="str">
        <f>IF('Setup Parameters'!Z29="","",'Setup Parameters'!Z29)</f>
        <v>FTCS TIRL conversion from SQOOP based interface to File based interface</v>
      </c>
      <c r="I18" s="28" t="str">
        <f>IF('Setup Parameters'!AF29="","",'Setup Parameters'!AF29)</f>
        <v/>
      </c>
      <c r="J18" s="28" t="str">
        <f>IF('Setup Parameters'!AL29="","",'Setup Parameters'!AL29)</f>
        <v/>
      </c>
      <c r="K18" s="28" t="str">
        <f>IF('Setup Parameters'!AR29="","",'Setup Parameters'!AR29)</f>
        <v/>
      </c>
      <c r="L18" s="28" t="str">
        <f>IF('Setup Parameters'!AX29="","",'Setup Parameters'!AX29)</f>
        <v/>
      </c>
      <c r="M18" s="28" t="str">
        <f>IF('Setup Parameters'!BD29="","",'Setup Parameters'!BD29)</f>
        <v/>
      </c>
      <c r="T18" s="26" t="s">
        <v>282</v>
      </c>
      <c r="U18" s="26" t="s">
        <v>51</v>
      </c>
      <c r="V18" s="26" t="s">
        <v>300</v>
      </c>
      <c r="W18" s="27">
        <v>8.32</v>
      </c>
      <c r="X18" s="86">
        <v>59.43</v>
      </c>
      <c r="AA18" s="29" t="s">
        <v>129</v>
      </c>
    </row>
    <row r="19" spans="4:27" x14ac:dyDescent="0.25">
      <c r="D19" s="28" t="str">
        <f>IF('Setup Parameters'!B30="","",'Setup Parameters'!B30)</f>
        <v/>
      </c>
      <c r="E19" s="28" t="str">
        <f>IF('Setup Parameters'!H30="","",'Setup Parameters'!H30)</f>
        <v/>
      </c>
      <c r="F19" s="28" t="str">
        <f>IF('Setup Parameters'!N30="","",'Setup Parameters'!N30)</f>
        <v/>
      </c>
      <c r="G19" s="28" t="str">
        <f>IF('Setup Parameters'!T30="","",'Setup Parameters'!T30)</f>
        <v/>
      </c>
      <c r="H19" s="28" t="str">
        <f>IF('Setup Parameters'!Z30="","",'Setup Parameters'!Z30)</f>
        <v>Convert Excel file to CSV(Should support both xls format and xlsx format)</v>
      </c>
      <c r="I19" s="28" t="str">
        <f>IF('Setup Parameters'!AF30="","",'Setup Parameters'!AF30)</f>
        <v/>
      </c>
      <c r="J19" s="28" t="str">
        <f>IF('Setup Parameters'!AL30="","",'Setup Parameters'!AL30)</f>
        <v/>
      </c>
      <c r="K19" s="28" t="str">
        <f>IF('Setup Parameters'!AR30="","",'Setup Parameters'!AR30)</f>
        <v/>
      </c>
      <c r="L19" s="28" t="str">
        <f>IF('Setup Parameters'!AX30="","",'Setup Parameters'!AX30)</f>
        <v/>
      </c>
      <c r="M19" s="28" t="str">
        <f>IF('Setup Parameters'!BD30="","",'Setup Parameters'!BD30)</f>
        <v/>
      </c>
      <c r="T19" s="26" t="s">
        <v>282</v>
      </c>
      <c r="U19" s="26" t="s">
        <v>139</v>
      </c>
      <c r="V19" s="26" t="s">
        <v>301</v>
      </c>
      <c r="W19" s="27">
        <v>2.08</v>
      </c>
      <c r="X19" s="86">
        <v>14.86</v>
      </c>
      <c r="AA19" s="26" t="s">
        <v>147</v>
      </c>
    </row>
    <row r="20" spans="4:27" x14ac:dyDescent="0.25">
      <c r="D20" s="28" t="str">
        <f>IF('Setup Parameters'!B31="","",'Setup Parameters'!B31)</f>
        <v/>
      </c>
      <c r="E20" s="28" t="str">
        <f>IF('Setup Parameters'!H31="","",'Setup Parameters'!H31)</f>
        <v/>
      </c>
      <c r="F20" s="28" t="str">
        <f>IF('Setup Parameters'!N31="","",'Setup Parameters'!N31)</f>
        <v/>
      </c>
      <c r="G20" s="28" t="str">
        <f>IF('Setup Parameters'!T31="","",'Setup Parameters'!T31)</f>
        <v/>
      </c>
      <c r="H20" s="28" t="str">
        <f>IF('Setup Parameters'!Z31="","",'Setup Parameters'!Z31)</f>
        <v>Execute test cases for AETP WSRD,AETP OPT</v>
      </c>
      <c r="I20" s="28" t="str">
        <f>IF('Setup Parameters'!AF31="","",'Setup Parameters'!AF31)</f>
        <v/>
      </c>
      <c r="J20" s="28" t="str">
        <f>IF('Setup Parameters'!AL31="","",'Setup Parameters'!AL31)</f>
        <v/>
      </c>
      <c r="K20" s="28" t="str">
        <f>IF('Setup Parameters'!AR31="","",'Setup Parameters'!AR31)</f>
        <v/>
      </c>
      <c r="L20" s="28" t="str">
        <f>IF('Setup Parameters'!AX31="","",'Setup Parameters'!AX31)</f>
        <v/>
      </c>
      <c r="M20" s="28" t="str">
        <f>IF('Setup Parameters'!BD31="","",'Setup Parameters'!BD31)</f>
        <v/>
      </c>
      <c r="T20" s="26" t="s">
        <v>282</v>
      </c>
      <c r="U20" s="26" t="s">
        <v>140</v>
      </c>
      <c r="V20" s="26" t="s">
        <v>302</v>
      </c>
      <c r="W20" s="27">
        <v>20.8</v>
      </c>
      <c r="X20" s="86">
        <v>148.57</v>
      </c>
      <c r="AA20" s="26" t="s">
        <v>148</v>
      </c>
    </row>
    <row r="21" spans="4:27" x14ac:dyDescent="0.25">
      <c r="D21" s="28" t="str">
        <f>IF('Setup Parameters'!B32="","",'Setup Parameters'!B32)</f>
        <v/>
      </c>
      <c r="E21" s="28" t="str">
        <f>IF('Setup Parameters'!H32="","",'Setup Parameters'!H32)</f>
        <v/>
      </c>
      <c r="F21" s="28" t="str">
        <f>IF('Setup Parameters'!N32="","",'Setup Parameters'!N32)</f>
        <v/>
      </c>
      <c r="G21" s="28" t="str">
        <f>IF('Setup Parameters'!T32="","",'Setup Parameters'!T32)</f>
        <v/>
      </c>
      <c r="H21" s="28" t="str">
        <f>IF('Setup Parameters'!Z32="","",'Setup Parameters'!Z32)</f>
        <v>Execute test cases for FTCS FTP, FTCS TIRL</v>
      </c>
      <c r="I21" s="28" t="str">
        <f>IF('Setup Parameters'!AF32="","",'Setup Parameters'!AF32)</f>
        <v/>
      </c>
      <c r="J21" s="28" t="str">
        <f>IF('Setup Parameters'!AL32="","",'Setup Parameters'!AL32)</f>
        <v/>
      </c>
      <c r="K21" s="28" t="str">
        <f>IF('Setup Parameters'!AR32="","",'Setup Parameters'!AR32)</f>
        <v/>
      </c>
      <c r="L21" s="28" t="str">
        <f>IF('Setup Parameters'!AX32="","",'Setup Parameters'!AX32)</f>
        <v/>
      </c>
      <c r="M21" s="28" t="str">
        <f>IF('Setup Parameters'!BD32="","",'Setup Parameters'!BD32)</f>
        <v/>
      </c>
      <c r="T21" s="26" t="s">
        <v>282</v>
      </c>
      <c r="U21" s="26" t="s">
        <v>141</v>
      </c>
      <c r="V21" s="26" t="s">
        <v>303</v>
      </c>
      <c r="W21" s="27">
        <v>0</v>
      </c>
      <c r="X21" s="86">
        <v>0</v>
      </c>
      <c r="AA21" s="26" t="s">
        <v>158</v>
      </c>
    </row>
    <row r="22" spans="4:27" x14ac:dyDescent="0.25">
      <c r="T22" s="26" t="s">
        <v>282</v>
      </c>
      <c r="U22" s="26" t="s">
        <v>233</v>
      </c>
      <c r="V22" s="26" t="s">
        <v>304</v>
      </c>
      <c r="W22" s="27">
        <v>10.4</v>
      </c>
      <c r="X22" s="86">
        <v>74.290000000000006</v>
      </c>
    </row>
    <row r="23" spans="4:27" x14ac:dyDescent="0.25">
      <c r="T23" s="26" t="s">
        <v>282</v>
      </c>
      <c r="U23" s="26" t="s">
        <v>142</v>
      </c>
      <c r="V23" s="26" t="s">
        <v>305</v>
      </c>
      <c r="W23" s="27">
        <v>0</v>
      </c>
      <c r="X23" s="86">
        <v>0</v>
      </c>
    </row>
    <row r="24" spans="4:27" x14ac:dyDescent="0.25">
      <c r="T24" s="26" t="s">
        <v>282</v>
      </c>
      <c r="U24" s="26" t="s">
        <v>144</v>
      </c>
      <c r="V24" s="26" t="s">
        <v>306</v>
      </c>
      <c r="W24" s="27">
        <v>10.4</v>
      </c>
      <c r="X24" s="86">
        <v>74.290000000000006</v>
      </c>
    </row>
    <row r="25" spans="4:27" x14ac:dyDescent="0.25">
      <c r="T25" s="26" t="s">
        <v>282</v>
      </c>
      <c r="U25" s="26" t="s">
        <v>145</v>
      </c>
      <c r="V25" s="26" t="s">
        <v>307</v>
      </c>
      <c r="W25" s="27">
        <v>41.6</v>
      </c>
      <c r="X25" s="86">
        <v>297.14</v>
      </c>
    </row>
    <row r="26" spans="4:27" x14ac:dyDescent="0.25">
      <c r="T26" s="26" t="s">
        <v>282</v>
      </c>
      <c r="U26" s="26" t="s">
        <v>236</v>
      </c>
      <c r="V26" s="26" t="s">
        <v>308</v>
      </c>
      <c r="W26" s="27">
        <v>10.4</v>
      </c>
      <c r="X26" s="86">
        <v>74.290000000000006</v>
      </c>
    </row>
    <row r="27" spans="4:27" x14ac:dyDescent="0.25">
      <c r="T27" s="26" t="s">
        <v>282</v>
      </c>
      <c r="U27" s="26" t="s">
        <v>235</v>
      </c>
      <c r="V27" s="26" t="s">
        <v>309</v>
      </c>
      <c r="W27" s="27">
        <v>20.8</v>
      </c>
      <c r="X27" s="86">
        <v>148.57</v>
      </c>
    </row>
  </sheetData>
  <sheetProtection algorithmName="SHA-512" hashValue="5ZEd7w+2vbdrsw+1hW1lJ+WX9K8joRl2Zn1UyzUQoF4Q1jwXZdQGkB/lD/23sm7MVopH+DgYS6zava/aLJJEfw==" saltValue="k6ZEK7/qMDv0fd1xnl8LjQ==" spinCount="100000"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Dashboard</vt:lpstr>
      <vt:lpstr>Setup Parameters</vt:lpstr>
      <vt:lpstr>Team Details</vt:lpstr>
      <vt:lpstr>Sheet1</vt:lpstr>
      <vt:lpstr>Data Collection</vt:lpstr>
      <vt:lpstr>Sapiance Upload</vt:lpstr>
      <vt:lpstr>Guidance</vt:lpstr>
      <vt:lpstr>Default_Release_CR_Name</vt:lpstr>
      <vt:lpstr>Life_Cycle_Names</vt:lpstr>
      <vt:lpstr>Release_1</vt:lpstr>
      <vt:lpstr>Release_10</vt:lpstr>
      <vt:lpstr>Release_2</vt:lpstr>
      <vt:lpstr>Release_3</vt:lpstr>
      <vt:lpstr>Release_4</vt:lpstr>
      <vt:lpstr>Release_5</vt:lpstr>
      <vt:lpstr>Release_6</vt:lpstr>
      <vt:lpstr>Release_7</vt:lpstr>
      <vt:lpstr>Release_8</vt:lpstr>
      <vt:lpstr>Release_9</vt:lpstr>
    </vt:vector>
  </TitlesOfParts>
  <Company>HCL Technologies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Krishnan R (QA – ERS), Chennai</dc:creator>
  <cp:lastModifiedBy>Jagadeesh Bokam</cp:lastModifiedBy>
  <dcterms:created xsi:type="dcterms:W3CDTF">2018-05-31T10:48:13Z</dcterms:created>
  <dcterms:modified xsi:type="dcterms:W3CDTF">2019-02-20T07:07:27Z</dcterms:modified>
</cp:coreProperties>
</file>